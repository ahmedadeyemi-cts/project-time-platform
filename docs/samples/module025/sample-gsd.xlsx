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&#65279;<?xml version="1.0" encoding="utf-8"?>
<Relationships xmlns="http://schemas.openxmlformats.org/package/2006/relationships">
  <Relationship Type="http://schemas.openxmlformats.org/officeDocument/2006/relationships/extended-properties" Target="docProps/app.xml" Id="rId1" />
  <Relationship Type="http://schemas.openxmlformats.org/package/2006/relationships/metadata/core-properties" Target="docProps/core.xml" Id="rId2" />
  <Relationship Type="http://schemas.openxmlformats.org/officeDocument/2006/relationships/officeDocument" Target="xl/workbook.xml" Id="rId3" />
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9"/>
  <x:workbookPr codeName="ThisWorkbook"/>
  <x:bookViews>
    <x:workbookView xWindow="0" yWindow="620" windowWidth="29040" windowHeight="17520" tabRatio="823" firstSheet="0" activeTab="0" xr2:uid="{00000000-000D-0000-FFFF-FFFF00000000}"/>
  </x:bookViews>
  <x:sheets>
    <x:sheet name="Summary" sheetId="1" r:id="rId1"/>
    <x:sheet name="Phase Breakdown" sheetId="2" r:id="rId2"/>
    <x:sheet name="Totals Sheet" sheetId="3" r:id="rId3"/>
    <x:sheet name="SELL SKUs" sheetId="4" r:id="rId4"/>
    <x:sheet name="Plan" sheetId="5" r:id="rId5"/>
    <x:sheet name="Design" sheetId="6" r:id="rId6"/>
    <x:sheet name="Implement" sheetId="7" r:id="rId7"/>
    <x:sheet name="Validate" sheetId="8" r:id="rId8"/>
    <x:sheet name="Release" sheetId="9" r:id="rId9"/>
    <x:sheet name="Architect Notes" sheetId="10" r:id="rId10"/>
    <x:sheet name="Gotcha Items" sheetId="11" r:id="rId11"/>
    <x:sheet name="Assumptions Responsibilities" sheetId="12" r:id="rId12"/>
  </x:sheets>
  <x:definedNames>
    <x:definedName name="_xlnm.Print_Area" localSheetId="0">Summary!$B$1:$N$38</x:definedName>
    <x:definedName name="_xlnm.Print_Area" localSheetId="1">'Phase Breakdown'!$B$2:$R$64</x:definedName>
    <x:definedName name="_xlnm.Print_Area" localSheetId="2">'Totals Sheet'!$B$1:$G$34</x:definedName>
    <x:definedName name="_xlnm.Print_Area" localSheetId="3">'SELL SKUs'!$A$1:$I$8</x:definedName>
    <x:definedName name="_xlnm.Print_Area" localSheetId="4">Plan!$A$1:$G$7</x:definedName>
    <x:definedName name="_xlnm.Print_Titles" localSheetId="4">Plan!1:3</x:definedName>
    <x:definedName name="_xlnm.Print_Area" localSheetId="5">Design!$A$1:$G$7</x:definedName>
    <x:definedName name="_xlnm.Print_Titles" localSheetId="5">Design!1:3</x:definedName>
    <x:definedName name="_xlnm.Print_Area" localSheetId="6">Implement!$A$1:$G$7</x:definedName>
    <x:definedName name="_xlnm.Print_Titles" localSheetId="6">Implement!1:3</x:definedName>
    <x:definedName name="_xlnm.Print_Area" localSheetId="7">Validate!$A$1:$G$7</x:definedName>
    <x:definedName name="_xlnm.Print_Titles" localSheetId="7">Validate!1:3</x:definedName>
    <x:definedName name="_xlnm.Print_Area" localSheetId="8">Release!$A$1:$G$7</x:definedName>
    <x:definedName name="_xlnm.Print_Titles" localSheetId="8">Release!1:3</x:definedName>
    <x:definedName name="_xlnm.Print_Area" localSheetId="9">'Architect Notes'!$A$1:$B$38</x:definedName>
    <x:definedName name="_xlnm.Print_Area" localSheetId="10">'Gotcha Items'!$A$1:$B$7</x:definedName>
    <x:definedName name="_Toc363478069" localSheetId="10">'Gotcha Items'!$A$10</x:definedName>
    <x:definedName name="_Toc363478070" localSheetId="10">'Gotcha Items'!$A$20</x:definedName>
    <x:definedName name="_Toc363478071" localSheetId="10">'Gotcha Items'!$A$32</x:definedName>
    <x:definedName name="_xlnm.Print_Area" localSheetId="11">'Assumptions Responsibilities'!$A$1:$B$22</x:definedName>
    <x:definedName name="Milestone1">'Phase Breakdown'!$B$6:$I$24</x:definedName>
    <x:definedName name="Milestone10">'Phase Breakdown'!$K$95:$R$122</x:definedName>
    <x:definedName name="Milestone2">'Phase Breakdown'!$K$6:$R$24</x:definedName>
    <x:definedName name="Milestone3">'Phase Breakdown'!$B$26:$I$64</x:definedName>
    <x:definedName name="Milestone4">'Phase Breakdown'!$K$26:$R$44</x:definedName>
    <x:definedName name="Milestone5">'Phase Breakdown'!$B$46:$I$64</x:definedName>
    <x:definedName name="Milestone6">'Phase Breakdown'!$K$46:$R$64</x:definedName>
    <x:definedName name="Milestone7">'Phase Breakdown'!$B$66:$I$93</x:definedName>
    <x:definedName name="Milestone8">'Phase Breakdown'!$K$66:$R$93</x:definedName>
    <x:definedName name="Milestone9">'Phase Breakdown'!$B$95:$I$122</x:definedName>
  </x:definedNames>
  <x:calcPr calcId="191029" fullPrecision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F4" i="1"/>
  <x:c r="M6" i="1"/>
  <x:c r="F7" i="1"/>
  <x:c r="M7" i="1"/>
  <x:c r="M8" i="1"/>
  <x:c r="M9" i="1"/>
  <x:c r="M10" i="1"/>
  <x:c r="M11" i="1"/>
  <x:c r="M12" i="1"/>
  <x:c r="M13" i="1"/>
  <x:c r="C8" i="2"/>
  <x:c r="L8" i="2"/>
  <x:c r="C13" i="2"/>
  <x:c r="L13" i="2"/>
  <x:c r="C28" i="2"/>
  <x:c r="L28" i="2"/>
  <x:c r="C33" i="2"/>
  <x:c r="L33" i="2"/>
  <x:c r="C48" i="2"/>
  <x:c r="C53" i="2"/>
  <x:c r="C11" i="3"/>
  <x:c r="C15" i="3"/>
  <x:c r="C16" i="3"/>
  <x:c r="C17" i="3"/>
  <x:c r="C18" i="3"/>
  <x:c r="C19" i="3"/>
  <x:c r="C24" i="3"/>
  <x:c r="C25" i="3"/>
  <x:c r="B100" i="5"/>
  <x:c r="A102" i="5"/>
  <x:c r="A103" i="5"/>
  <x:c r="A104" i="5"/>
  <x:c r="A105" i="5"/>
  <x:c r="A109" i="5"/>
  <x:c r="E109" i="5"/>
  <x:c r="A110" i="5"/>
  <x:c r="E110" i="5"/>
  <x:c r="A111" i="5"/>
  <x:c r="E111" i="5"/>
  <x:c r="A112" i="5"/>
  <x:c r="E112" i="5"/>
  <x:c r="E113" i="5"/>
  <x:c r="A116" i="5"/>
  <x:c r="A117" i="5"/>
  <x:c r="A118" i="5"/>
  <x:c r="A119" i="5"/>
  <x:c r="B120" i="5"/>
  <x:c r="C120" i="5"/>
  <x:c r="D120" i="5"/>
  <x:c r="B100" i="6"/>
  <x:c r="A102" i="6"/>
  <x:c r="A103" i="6"/>
  <x:c r="A104" i="6"/>
  <x:c r="A105" i="6"/>
  <x:c r="A109" i="6"/>
  <x:c r="E109" i="6"/>
  <x:c r="A110" i="6"/>
  <x:c r="E110" i="6"/>
  <x:c r="A111" i="6"/>
  <x:c r="E111" i="6"/>
  <x:c r="A112" i="6"/>
  <x:c r="E112" i="6"/>
  <x:c r="E113" i="6"/>
  <x:c r="A116" i="6"/>
  <x:c r="A117" i="6"/>
  <x:c r="A118" i="6"/>
  <x:c r="A119" i="6"/>
  <x:c r="B120" i="6"/>
  <x:c r="C120" i="6"/>
  <x:c r="D120" i="6"/>
  <x:c r="B100" i="7"/>
  <x:c r="A102" i="7"/>
  <x:c r="A103" i="7"/>
  <x:c r="A104" i="7"/>
  <x:c r="A105" i="7"/>
  <x:c r="A109" i="7"/>
  <x:c r="E109" i="7"/>
  <x:c r="A110" i="7"/>
  <x:c r="E110" i="7"/>
  <x:c r="A111" i="7"/>
  <x:c r="E111" i="7"/>
  <x:c r="A112" i="7"/>
  <x:c r="E112" i="7"/>
  <x:c r="E113" i="7"/>
  <x:c r="A116" i="7"/>
  <x:c r="A117" i="7"/>
  <x:c r="A118" i="7"/>
  <x:c r="A119" i="7"/>
  <x:c r="B120" i="7"/>
  <x:c r="C120" i="7"/>
  <x:c r="D120" i="7"/>
  <x:c r="B100" i="8"/>
  <x:c r="A102" i="8"/>
  <x:c r="A103" i="8"/>
  <x:c r="A104" i="8"/>
  <x:c r="A105" i="8"/>
  <x:c r="A109" i="8"/>
  <x:c r="E109" i="8"/>
  <x:c r="A110" i="8"/>
  <x:c r="E110" i="8"/>
  <x:c r="A111" i="8"/>
  <x:c r="E111" i="8"/>
  <x:c r="A112" i="8"/>
  <x:c r="E112" i="8"/>
  <x:c r="E113" i="8"/>
  <x:c r="A116" i="8"/>
  <x:c r="A117" i="8"/>
  <x:c r="A118" i="8"/>
  <x:c r="A119" i="8"/>
  <x:c r="B120" i="8"/>
  <x:c r="C120" i="8"/>
  <x:c r="D120" i="8"/>
  <x:c r="B100" i="9"/>
  <x:c r="A102" i="9"/>
  <x:c r="A103" i="9"/>
  <x:c r="A104" i="9"/>
  <x:c r="A105" i="9"/>
  <x:c r="A109" i="9"/>
  <x:c r="E109" i="9"/>
  <x:c r="A110" i="9"/>
  <x:c r="E110" i="9"/>
  <x:c r="A111" i="9"/>
  <x:c r="E111" i="9"/>
  <x:c r="A112" i="9"/>
  <x:c r="E112" i="9"/>
  <x:c r="E113" i="9"/>
  <x:c r="A116" i="9"/>
  <x:c r="A117" i="9"/>
  <x:c r="A118" i="9"/>
  <x:c r="A119" i="9"/>
  <x:c r="B120" i="9"/>
  <x:c r="C120" i="9"/>
  <x:c r="D120" i="9"/>
</x:calcChain>
</file>

<file path=xl/comments1.xml><?xml version="1.0" encoding="utf-8"?>
<x:comments xmlns:x="http://schemas.openxmlformats.org/spreadsheetml/2006/main">
  <x:authors>
    <x:author>Microsoft Office User</x:author>
  </x:authors>
  <x:commentList>
    <x:comment ref="C4" authorId="0">
      <x:text>
        <x:r>
          <x:rPr>
            <x:vertAlign val="baseline"/>
            <x:sz val="12"/>
            <x:color theme="1"/>
            <x:rFont val="Calibri"/>
            <x:family val="2"/>
            <x:scheme val="minor"/>
          </x:rPr>
          <x:t xml:space="preserve">Edit percentage depending on level of difficulty
*Fixed Bid ONLY</x:t>
        </x:r>
      </x:text>
    </x:comment>
    <x:comment ref="C5" authorId="0">
      <x:text>
        <x:r>
          <x:rPr>
            <x:vertAlign val="baseline"/>
            <x:sz val="12"/>
            <x:color theme="1"/>
            <x:rFont val="Calibri"/>
            <x:family val="2"/>
            <x:scheme val="minor"/>
          </x:rPr>
          <x:t>Calculated at 20% of engineering hours for most projects, 25% for UC and complex projects</x:t>
        </x:r>
      </x:text>
    </x:comment>
    <x:comment ref="C7" authorId="0">
      <x:text>
        <x:r>
          <x:rPr>
            <x:vertAlign val="baseline"/>
            <x:sz val="12"/>
            <x:color theme="1"/>
            <x:rFont val="Calibri"/>
            <x:family val="2"/>
            <x:scheme val="minor"/>
          </x:rPr>
          <x:t>Anything from rack screws to Zerto licensing</x:t>
        </x:r>
      </x:text>
    </x:comment>
  </x:commentList>
</x:comments>
</file>

<file path=xl/sharedStrings.xml><?xml version="1.0" encoding="utf-8"?>
<x:sst xmlns:x="http://schemas.openxmlformats.org/spreadsheetml/2006/main">
  <x:si>
    <x:t>General Services Delivery Worksheet</x:t>
  </x:si>
  <x:si>
    <x:t>Project Context</x:t>
  </x:si>
  <x:si>
    <x:t xml:space="preserve"> </x:t>
  </x:si>
  <x:si>
    <x:t>Reserve %</x:t>
  </x:si>
  <x:si>
    <x:t>Total Project Hours</x:t>
  </x:si>
  <x:si>
    <x:t>Review the customer, project and assigned team. Phase tabs contain saved scope and reviewed phase hours. Task hours, engineering roles, overtime, reserve, travel and billing rates require explicit review; blank values are unknown. Prices and SKUs are not inferred from the example workbook.</x:t>
  </x:si>
  <x:si>
    <x:t>Not set</x:t>
  </x:si>
  <x:si>
    <x:t>BA/Dev/Arch</x:t>
  </x:si>
  <x:si>
    <x:t>PMgr</x:t>
  </x:si>
  <x:si>
    <x:t>Proj Oversight Hours</x:t>
  </x:si>
  <x:si>
    <x:t>SME</x:t>
  </x:si>
  <x:si>
    <x:t>PCoord</x:t>
  </x:si>
  <x:si>
    <x:t>Proj Oversight Role</x:t>
  </x:si>
  <x:si>
    <x:t>Consulting Eng</x:t>
  </x:si>
  <x:si>
    <x:t>PSched</x:t>
  </x:si>
  <x:si>
    <x:t>Expenses</x:t>
  </x:si>
  <x:si>
    <x:t>Rates pending</x:t>
  </x:si>
  <x:si>
    <x:t>Associate Eng</x:t>
  </x:si>
  <x:si>
    <x:t>Travel</x:t>
  </x:si>
  <x:si>
    <x:t>Travel Expenses</x:t>
  </x:si>
  <x:si>
    <x:t>Travel Hours</x:t>
  </x:si>
  <x:si>
    <x:t>Engineering Reserve Hours</x:t>
  </x:si>
  <x:si>
    <x:t>Work Location</x:t>
  </x:si>
  <x:si>
    <x:t>FP</x:t>
  </x:si>
  <x:si>
    <x:t>Client Name</x:t>
  </x:si>
  <x:si>
    <x:t>Total Project Oversight Hours</x:t>
  </x:si>
  <x:si>
    <x:t>T&amp;M</x:t>
  </x:si>
  <x:si>
    <x:t>Project Name</x:t>
  </x:si>
  <x:si>
    <x:t>Contract Type</x:t>
  </x:si>
  <x:si>
    <x:t>Project Oversight Reserve</x:t>
  </x:si>
  <x:si>
    <x:t>AE</x:t>
  </x:si>
  <x:si>
    <x:t>Plan tasks</x:t>
  </x:si>
  <x:si>
    <x:t>SA</x:t>
  </x:si>
  <x:si>
    <x:t>Project List Price</x:t>
  </x:si>
  <x:si>
    <x:t>OT rates</x:t>
  </x:si>
  <x:si>
    <x:t>SAA</x:t>
  </x:si>
  <x:si>
    <x:t>ConnectWise SELL Quote #</x:t>
  </x:si>
  <x:si>
    <x:t>US Signal MS Client</x:t>
  </x:si>
  <x:si>
    <x:t>Attached to Hardware</x:t>
  </x:si>
  <x:si>
    <x:t>TRAVEL INPUT</x:t>
  </x:si>
  <x:si>
    <x:t>Attached to MRR Deal</x:t>
  </x:si>
  <x:si>
    <x:t>Airfare</x:t>
  </x:si>
  <x:si>
    <x:t>MRR Deal Quote #</x:t>
  </x:si>
  <x:si>
    <x:t>Lodging</x:t>
  </x:si>
  <x:si>
    <x:t>Per Diem</x:t>
  </x:si>
  <x:si>
    <x:t>Remote Only</x:t>
  </x:si>
  <x:si>
    <x:t>Working Phase Hours</x:t>
  </x:si>
  <x:si>
    <x:t>Car rental</x:t>
  </x:si>
  <x:si>
    <x:t>On Location Only</x:t>
  </x:si>
  <x:si>
    <x:t>Travel Time</x:t>
  </x:si>
  <x:si>
    <x:t>Combo</x:t>
  </x:si>
  <x:si>
    <x:t>Mileage</x:t>
  </x:si>
  <x:si>
    <x:t>After-hours allocations are separate from premium pricing.</x:t>
  </x:si>
  <x:si>
    <x:t>Phase Breakdown</x:t>
  </x:si>
  <x:si>
    <x:t>Plan - LABOR</x:t>
  </x:si>
  <x:si>
    <x:t>Design - LABOR</x:t>
  </x:si>
  <x:si>
    <x:t>Total Hours</x:t>
  </x:si>
  <x:si>
    <x:t>Resource</x:t>
  </x:si>
  <x:si>
    <x:t>OT</x:t>
  </x:si>
  <x:si>
    <x:t>Rsv Eng</x:t>
  </x:si>
  <x:si>
    <x:t>Labor List Price</x:t>
  </x:si>
  <x:si>
    <x:t>Total Hours - Reserve</x:t>
  </x:si>
  <x:si>
    <x:t>TOTAL LABOR</x:t>
  </x:si>
  <x:si>
    <x:t>Plan - TRAVEL</x:t>
  </x:si>
  <x:si>
    <x:t>Design - TRAVEL</x:t>
  </x:si>
  <x:si>
    <x:t>Days Onsite</x:t>
  </x:si>
  <x:si>
    <x:t># of Flights</x:t>
  </x:si>
  <x:si>
    <x:t>Rental Car</x:t>
  </x:si>
  <x:si>
    <x:t># Miles</x:t>
  </x:si>
  <x:si>
    <x:t>Travel List Price</x:t>
  </x:si>
  <x:si>
    <x:t>TOTAL TRAVEL</x:t>
  </x:si>
  <x:si>
    <x:t>Meetings</x:t>
  </x:si>
  <x:si>
    <x:t>Plan - GRAND TOTAL</x:t>
  </x:si>
  <x:si>
    <x:t>Design - GRAND TOTAL</x:t>
  </x:si>
  <x:si>
    <x:t>Implement - LABOR</x:t>
  </x:si>
  <x:si>
    <x:t>Validate - LABOR</x:t>
  </x:si>
  <x:si>
    <x:t>Implement - TRAVEL</x:t>
  </x:si>
  <x:si>
    <x:t>Validate - TRAVEL</x:t>
  </x:si>
  <x:si>
    <x:t>Implement - GRAND TOTAL</x:t>
  </x:si>
  <x:si>
    <x:t>Validate - GRAND TOTAL</x:t>
  </x:si>
  <x:si>
    <x:t>Release - LABOR</x:t>
  </x:si>
  <x:si>
    <x:t>Release - TRAVEL</x:t>
  </x:si>
  <x:si>
    <x:t>Release - GRAND TOTAL</x:t>
  </x:si>
  <x:si>
    <x:t>Project Totals</x:t>
  </x:si>
  <x:si>
    <x:t>PRICING REQUIRES APPROVED RATES</x:t>
  </x:si>
  <x:si>
    <x:t>Resource Role</x:t>
  </x:si>
  <x:si>
    <x:t>Reg Hours (Incl Reserve)</x:t>
  </x:si>
  <x:si>
    <x:t>Overtime Hours</x:t>
  </x:si>
  <x:si>
    <x:t>Regular TOTALS</x:t>
  </x:si>
  <x:si>
    <x:t>Overtime TOTALS</x:t>
  </x:si>
  <x:si>
    <x:t>Overall TOTALS</x:t>
  </x:si>
  <x:si>
    <x:t>N/A</x:t>
  </x:si>
  <x:si>
    <x:t>Meeting Hours</x:t>
  </x:si>
  <x:si>
    <x:t>TOTALS</x:t>
  </x:si>
  <x:si>
    <x:t>PHASE BREAKOUT TOTALS</x:t>
  </x:si>
  <x:si>
    <x:t>Hours</x:t>
  </x:si>
  <x:si>
    <x:t>OT Hours</x:t>
  </x:si>
  <x:si>
    <x:t>Labor and Travel</x:t>
  </x:si>
  <x:si>
    <x:t>PLAN</x:t>
  </x:si>
  <x:si>
    <x:t>DESIGN</x:t>
  </x:si>
  <x:si>
    <x:t>IMPLEMENT</x:t>
  </x:si>
  <x:si>
    <x:t>VALIDATE</x:t>
  </x:si>
  <x:si>
    <x:t>RELEASE</x:t>
  </x:si>
  <x:si>
    <x:t>TOTAL PROJECT LABOR</x:t>
  </x:si>
  <x:si>
    <x:t>INVOICING BREAKOUT TOTALS</x:t>
  </x:si>
  <x:si>
    <x:t>PLAN, DESIGN, RELEASE</x:t>
  </x:si>
  <x:si>
    <x:t>IMPLEMENT, VALIDATE</x:t>
  </x:si>
  <x:si>
    <x:t>Architect Notes</x:t>
  </x:si>
  <x:si>
    <x:t>TRAVEL EXPENSE</x:t>
  </x:si>
  <x:si>
    <x:t>PROJECT OVERSIGHT</x:t>
  </x:si>
  <x:si>
    <x:t>MISC EXPENSES</x:t>
  </x:si>
  <x:si>
    <x:t>TOTAL PROJECT</x:t>
  </x:si>
  <x:si>
    <x:t>ConnectWise SELL SKUs</x:t>
  </x:si>
  <x:si>
    <x:t>Hrs</x:t>
  </x:si>
  <x:si>
    <x:t>Sku</x:t>
  </x:si>
  <x:si>
    <x:t>Description</x:t>
  </x:si>
  <x:si>
    <x:t>Select approved SKUs in ConnectWise SELL</x:t>
  </x:si>
  <x:si>
    <x:t>No SKU, rate or price is inferred from the reference workbook.</x:t>
  </x:si>
  <x:si>
    <x:t>Task Name</x:t>
  </x:si>
  <x:si>
    <x:t>Eng Hours</x:t>
  </x:si>
  <x:si>
    <x:t>Eng OT Hours</x:t>
  </x:si>
  <x:si>
    <x:t>Reserve Eng Hours</x:t>
  </x:si>
  <x:si>
    <x:t>Engineering Role</x:t>
  </x:si>
  <x:si>
    <x:t>Travel Required for Task?</x:t>
  </x:si>
  <x:si>
    <x:t>Notes</x:t>
  </x:si>
  <x:si>
    <x:t>REMOTE HOURS</x:t>
  </x:si>
  <x:si>
    <x:t>Eng Resv Hours</x:t>
  </x:si>
  <x:si>
    <x:t>TOTAL REMOTE HOURS</x:t>
  </x:si>
  <x:si>
    <x:t>ONSITE HOURS (Requiring Travel)</x:t>
  </x:si>
  <x:si>
    <x:t>TOTAL ONSITE HOURS</x:t>
  </x:si>
  <x:si>
    <x:t>TOTAL HOURS</x:t>
  </x:si>
  <x:si>
    <x:t>TOTAL PHASE HOURS</x:t>
  </x:si>
  <x:si>
    <x:t>Sample Engagement Customer</x:t>
  </x:si>
  <x:si>
    <x:t>Sample Platform Modernization</x:t>
  </x:si>
  <x:si>
    <x:t>Sample Account Executive</x:t>
  </x:si>
  <x:si>
    <x:t>Sample Solution Architect</x:t>
  </x:si>
  <x:si>
    <x:t>Sample Inside Sales</x:t>
  </x:si>
  <x:si>
    <x:t>Deliver the agreed project scope using the five delivery phases.</x:t>
  </x:si>
  <x:si>
    <x:t>Revision 2</x:t>
  </x:si>
  <x:si>
    <x:t>Regular Hours</x:t>
  </x:si>
  <x:si>
    <x:t>After-hours Hours</x:t>
  </x:si>
  <x:si>
    <x:t>Working estimate; task allocations require review.</x:t>
  </x:si>
  <x:si>
    <x:t>Task breakdown below; phase hours appear once.</x:t>
  </x:si>
  <x:si>
    <x:t>Plan reviewed phase total</x:t>
  </x:si>
  <x:si>
    <x:t>Reviewed phase estimate; task allocation pending.</x:t>
  </x:si>
  <x:si>
    <x:t>Review the agreed plan requirements</x:t>
  </x:si>
  <x:si>
    <x:t>Complete the approved plan activities</x:t>
  </x:si>
  <x:si>
    <x:t>Record the plan configuration decisions</x:t>
  </x:si>
  <x:si>
    <x:t>Reviewed phase hours</x:t>
  </x:si>
  <x:si>
    <x:t>Role allocation pending</x:t>
  </x:si>
  <x:si>
    <x:t>Design tasks</x:t>
  </x:si>
  <x:si>
    <x:t>Design reviewed phase total</x:t>
  </x:si>
  <x:si>
    <x:t>Review the agreed design requirements</x:t>
  </x:si>
  <x:si>
    <x:t>Complete the approved design activities</x:t>
  </x:si>
  <x:si>
    <x:t>Record the design configuration decisions</x:t>
  </x:si>
  <x:si>
    <x:t>Implement tasks</x:t>
  </x:si>
  <x:si>
    <x:t>Implement reviewed phase total</x:t>
  </x:si>
  <x:si>
    <x:t>Review the agreed implement requirements</x:t>
  </x:si>
  <x:si>
    <x:t>Complete the approved implement activities</x:t>
  </x:si>
  <x:si>
    <x:t>Record the implement configuration decisions</x:t>
  </x:si>
  <x:si>
    <x:t>Validate tasks</x:t>
  </x:si>
  <x:si>
    <x:t>Validate reviewed phase total</x:t>
  </x:si>
  <x:si>
    <x:t>Review the agreed validate requirements</x:t>
  </x:si>
  <x:si>
    <x:t>Complete the approved validate activities</x:t>
  </x:si>
  <x:si>
    <x:t>Record the validate configuration decisions</x:t>
  </x:si>
  <x:si>
    <x:t>Release tasks</x:t>
  </x:si>
  <x:si>
    <x:t>Release reviewed phase total</x:t>
  </x:si>
  <x:si>
    <x:t>Review the agreed release requirements</x:t>
  </x:si>
  <x:si>
    <x:t>Complete the approved release activities</x:t>
  </x:si>
  <x:si>
    <x:t>Record the release configuration decisions</x:t>
  </x:si>
  <x:si>
    <x:t>Working phase hours; review required</x:t>
  </x:si>
  <x:si>
    <x:t>RESOURCE ALLOCATION REQUIRES REVIEW</x:t>
  </x:si>
  <x:si>
    <x:t>Estimate basis</x:t>
  </x:si>
  <x:si>
    <x:t>Task hours roll up to phase totals once, including regular and after-hours effort. Proposed allocations require SA review. Legacy phase-only estimates are identified separately. Engineering roles, premium rates, reserve, travel and prices are not inferred. Prices require approved commercial inputs.</x:t>
  </x:si>
  <x:si>
    <x:t>Plan objective</x:t>
  </x:si>
  <x:si>
    <x:t>Deliver the reviewed plan scope for the sample engagement.</x:t>
  </x:si>
  <x:si>
    <x:t>Plan estimate rationale</x:t>
  </x:si>
  <x:si>
    <x:t>Plan technical detail</x:t>
  </x:si>
  <x:si>
    <x:t>Plan deliverable</x:t>
  </x:si>
  <x:si>
    <x:t>Reviewed plan delivery record</x:t>
  </x:si>
  <x:si>
    <x:t>Plan acceptance</x:t>
  </x:si>
  <x:si>
    <x:t>Customer reviews the documented plan results</x:t>
  </x:si>
  <x:si>
    <x:t>Plan validation</x:t>
  </x:si>
  <x:si>
    <x:t>Validate the plan outcome against the acceptance criteria</x:t>
  </x:si>
  <x:si>
    <x:t>Plan prerequisite</x:t>
  </x:si>
  <x:si>
    <x:t>Confirm the plan prerequisites are in place</x:t>
  </x:si>
  <x:si>
    <x:t>Design objective</x:t>
  </x:si>
  <x:si>
    <x:t>Deliver the reviewed design scope for the sample engagement.</x:t>
  </x:si>
  <x:si>
    <x:t>Design estimate rationale</x:t>
  </x:si>
  <x:si>
    <x:t>Design technical detail</x:t>
  </x:si>
  <x:si>
    <x:t>Design deliverable</x:t>
  </x:si>
  <x:si>
    <x:t>Reviewed design delivery record</x:t>
  </x:si>
  <x:si>
    <x:t>Design acceptance</x:t>
  </x:si>
  <x:si>
    <x:t>Customer reviews the documented design results</x:t>
  </x:si>
  <x:si>
    <x:t>Design validation</x:t>
  </x:si>
  <x:si>
    <x:t>Validate the design outcome against the acceptance criteria</x:t>
  </x:si>
  <x:si>
    <x:t>Design prerequisite</x:t>
  </x:si>
  <x:si>
    <x:t>Confirm the design prerequisites are in place</x:t>
  </x:si>
  <x:si>
    <x:t>Implement objective</x:t>
  </x:si>
  <x:si>
    <x:t>Deliver the reviewed implement scope for the sample engagement.</x:t>
  </x:si>
  <x:si>
    <x:t>Implement estimate rationale</x:t>
  </x:si>
  <x:si>
    <x:t>Implement technical detail</x:t>
  </x:si>
  <x:si>
    <x:t>Implement deliverable</x:t>
  </x:si>
  <x:si>
    <x:t>Reviewed implement delivery record</x:t>
  </x:si>
  <x:si>
    <x:t>Implement acceptance</x:t>
  </x:si>
  <x:si>
    <x:t>Customer reviews the documented implement results</x:t>
  </x:si>
  <x:si>
    <x:t>Implement validation</x:t>
  </x:si>
  <x:si>
    <x:t>Validate the implement outcome against the acceptance criteria</x:t>
  </x:si>
  <x:si>
    <x:t>Implement prerequisite</x:t>
  </x:si>
  <x:si>
    <x:t>Confirm the implement prerequisites are in place</x:t>
  </x:si>
  <x:si>
    <x:t>Validate objective</x:t>
  </x:si>
  <x:si>
    <x:t>Deliver the reviewed validate scope for the sample engagement.</x:t>
  </x:si>
  <x:si>
    <x:t>Validate estimate rationale</x:t>
  </x:si>
  <x:si>
    <x:t>Validate technical detail</x:t>
  </x:si>
  <x:si>
    <x:t>Validate deliverable</x:t>
  </x:si>
  <x:si>
    <x:t>Reviewed validate delivery record</x:t>
  </x:si>
  <x:si>
    <x:t>Validate acceptance</x:t>
  </x:si>
  <x:si>
    <x:t>Customer reviews the documented validate results</x:t>
  </x:si>
  <x:si>
    <x:t>Validate validation</x:t>
  </x:si>
  <x:si>
    <x:t>Validate the validate outcome against the acceptance criteria</x:t>
  </x:si>
  <x:si>
    <x:t>Validate prerequisite</x:t>
  </x:si>
  <x:si>
    <x:t>Confirm the validate prerequisites are in place</x:t>
  </x:si>
  <x:si>
    <x:t>Release objective</x:t>
  </x:si>
  <x:si>
    <x:t>Deliver the reviewed release scope for the sample engagement.</x:t>
  </x:si>
  <x:si>
    <x:t>Release estimate rationale</x:t>
  </x:si>
  <x:si>
    <x:t>Release technical detail</x:t>
  </x:si>
  <x:si>
    <x:t>Release deliverable</x:t>
  </x:si>
  <x:si>
    <x:t>Reviewed release delivery record</x:t>
  </x:si>
  <x:si>
    <x:t>Release acceptance</x:t>
  </x:si>
  <x:si>
    <x:t>Customer reviews the documented release results</x:t>
  </x:si>
  <x:si>
    <x:t>Release validation</x:t>
  </x:si>
  <x:si>
    <x:t>Validate the release outcome against the acceptance criteria</x:t>
  </x:si>
  <x:si>
    <x:t>Release prerequisite</x:t>
  </x:si>
  <x:si>
    <x:t>Confirm the release prerequisites are in place</x:t>
  </x:si>
  <x:si>
    <x:t>Risks and Open Questions</x:t>
  </x:si>
  <x:si>
    <x:t>Plan risk</x:t>
  </x:si>
  <x:si>
    <x:t>Schedule risk if the plan prerequisites are delayed</x:t>
  </x:si>
  <x:si>
    <x:t>Design risk</x:t>
  </x:si>
  <x:si>
    <x:t>Schedule risk if the design prerequisites are delayed</x:t>
  </x:si>
  <x:si>
    <x:t>Implement risk</x:t>
  </x:si>
  <x:si>
    <x:t>Schedule risk if the implement prerequisites are delayed</x:t>
  </x:si>
  <x:si>
    <x:t>Validate risk</x:t>
  </x:si>
  <x:si>
    <x:t>Schedule risk if the validate prerequisites are delayed</x:t>
  </x:si>
  <x:si>
    <x:t>Release risk</x:t>
  </x:si>
  <x:si>
    <x:t>Schedule risk if the release prerequisites are delayed</x:t>
  </x:si>
  <x:si>
    <x:t>Assumptions and Responsibilities</x:t>
  </x:si>
  <x:si>
    <x:t>Plan assumption</x:t>
  </x:si>
  <x:si>
    <x:t>Assumes the reviewed plan scope is unchanged</x:t>
  </x:si>
  <x:si>
    <x:t>Plan dependency</x:t>
  </x:si>
  <x:si>
    <x:t>Depends on completion of the prior-phase deliverables</x:t>
  </x:si>
  <x:si>
    <x:t>Plan US Signal responsibility</x:t>
  </x:si>
  <x:si>
    <x:t>Provide access and confirm the plan outcomes</x:t>
  </x:si>
  <x:si>
    <x:t>Plan customer responsibility</x:t>
  </x:si>
  <x:si>
    <x:t>Provide the agreed plan services and review the results</x:t>
  </x:si>
  <x:si>
    <x:t>Design assumption</x:t>
  </x:si>
  <x:si>
    <x:t>Assumes the reviewed design scope is unchanged</x:t>
  </x:si>
  <x:si>
    <x:t>Design dependency</x:t>
  </x:si>
  <x:si>
    <x:t>Design US Signal responsibility</x:t>
  </x:si>
  <x:si>
    <x:t>Provide access and confirm the design outcomes</x:t>
  </x:si>
  <x:si>
    <x:t>Design customer responsibility</x:t>
  </x:si>
  <x:si>
    <x:t>Provide the agreed design services and review the results</x:t>
  </x:si>
  <x:si>
    <x:t>Implement assumption</x:t>
  </x:si>
  <x:si>
    <x:t>Assumes the reviewed implement scope is unchanged</x:t>
  </x:si>
  <x:si>
    <x:t>Implement dependency</x:t>
  </x:si>
  <x:si>
    <x:t>Implement US Signal responsibility</x:t>
  </x:si>
  <x:si>
    <x:t>Provide access and confirm the implement outcomes</x:t>
  </x:si>
  <x:si>
    <x:t>Implement customer responsibility</x:t>
  </x:si>
  <x:si>
    <x:t>Provide the agreed implement services and review the results</x:t>
  </x:si>
  <x:si>
    <x:t>Validate assumption</x:t>
  </x:si>
  <x:si>
    <x:t>Assumes the reviewed validate scope is unchanged</x:t>
  </x:si>
  <x:si>
    <x:t>Validate dependency</x:t>
  </x:si>
  <x:si>
    <x:t>Validate US Signal responsibility</x:t>
  </x:si>
  <x:si>
    <x:t>Provide access and confirm the validate outcomes</x:t>
  </x:si>
  <x:si>
    <x:t>Validate customer responsibility</x:t>
  </x:si>
  <x:si>
    <x:t>Provide the agreed validate services and review the results</x:t>
  </x:si>
  <x:si>
    <x:t>Release assumption</x:t>
  </x:si>
  <x:si>
    <x:t>Assumes the reviewed release scope is unchanged</x:t>
  </x:si>
  <x:si>
    <x:t>Release dependency</x:t>
  </x:si>
  <x:si>
    <x:t>Release US Signal responsibility</x:t>
  </x:si>
  <x:si>
    <x:t>Provide access and confirm the release outcomes</x:t>
  </x:si>
  <x:si>
    <x:t>Release customer responsibility</x:t>
  </x:si>
  <x:si>
    <x:t>Provide the agreed release services and review the results</x:t>
  </x:si>
  <x:si>
    <x:t>Review required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</x:si>
</x:sst>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3">
    <x:numFmt numFmtId="44" formatCode="_(&quot;$&quot;* #,##0.00_);_(&quot;$&quot;* \(#,##0.00\);_(&quot;$&quot;* &quot;-&quot;??_);_(@_)"/>
    <x:numFmt numFmtId="164" formatCode="&quot;$&quot;#,##0.00"/>
    <x:numFmt numFmtId="165" formatCode="0.##"/>
  </x:numFmts>
  <x:fonts count="61" x14ac:knownFonts="1">
    <x:font>
      <x:sz val="12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11"/>
      <x:name val="Calibri"/>
      <x:family val="2"/>
      <x:scheme val="minor"/>
    </x:font>
    <x:font>
      <x:sz val="11"/>
      <x:color theme="1"/>
      <x:name val="Courier New"/>
      <x:family val="3"/>
    </x:font>
    <x:font>
      <x:b/>
      <x:sz val="12"/>
      <x:color theme="1"/>
      <x:name val="Calibri"/>
      <x:family val="2"/>
      <x:scheme val="minor"/>
    </x:font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sz val="10"/>
      <x:color theme="1"/>
      <x:name val="Calibri"/>
      <x:family val="2"/>
    </x:font>
    <x:font>
      <x:sz val="10"/>
      <x:color theme="1"/>
      <x:name val="Courier New"/>
      <x:family val="3"/>
    </x:font>
    <x:font>
      <x:sz val="10"/>
      <x:color theme="1"/>
      <x:name val="Calibri"/>
      <x:family val="2"/>
      <x:scheme val="minor"/>
    </x:font>
    <x:font>
      <x:u/>
      <x:sz val="12"/>
      <x:color theme="10"/>
      <x:name val="Calibri"/>
      <x:family val="2"/>
      <x:scheme val="minor"/>
    </x:font>
    <x:font>
      <x:u/>
      <x:sz val="12"/>
      <x:color theme="11"/>
      <x:name val="Calibri"/>
      <x:family val="2"/>
      <x:scheme val="minor"/>
    </x:font>
    <x:font>
      <x:b/>
      <x:sz val="12"/>
      <x:color theme="0"/>
      <x:name val="Calibri"/>
      <x:family val="2"/>
      <x:scheme val="minor"/>
    </x:font>
    <x:font>
      <x:b/>
      <x:sz val="16"/>
      <x:color theme="0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2"/>
      <x:color rgb="FFFF0000"/>
      <x:name val="Calibri"/>
      <x:family val="2"/>
      <x:scheme val="minor"/>
    </x:font>
    <x:font>
      <x:sz val="12"/>
      <x:name val="Calibri"/>
      <x:family val="2"/>
      <x:scheme val="minor"/>
    </x:font>
    <x:font>
      <x:b/>
      <x:sz val="10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b/>
      <x:i/>
      <x:sz val="12"/>
      <x:color theme="1"/>
      <x:name val="Calibri"/>
      <x:family val="2"/>
      <x:scheme val="minor"/>
    </x:font>
    <x:font>
      <x:i/>
      <x:sz val="1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b/>
      <x:sz val="24"/>
      <x:color theme="1"/>
      <x:name val="Calibri"/>
      <x:family val="2"/>
      <x:scheme val="minor"/>
    </x:font>
    <x:font>
      <x:b/>
      <x:sz val="28"/>
      <x:color theme="1"/>
      <x:name val="Calibri"/>
      <x:family val="2"/>
      <x:scheme val="minor"/>
    </x:font>
    <x:font>
      <x:b/>
      <x:sz val="36"/>
      <x:color theme="1"/>
      <x:name val="Calibri"/>
      <x:family val="2"/>
      <x:scheme val="minor"/>
    </x:font>
    <x:font>
      <x:b/>
      <x:sz val="14"/>
      <x:color theme="0"/>
      <x:name val="Calibri"/>
      <x:family val="2"/>
      <x:scheme val="minor"/>
    </x:font>
    <x:font>
      <x:sz val="14"/>
      <x:color theme="1"/>
      <x:name val="Calibri"/>
      <x:family val="2"/>
      <x:scheme val="minor"/>
    </x:font>
    <x:font>
      <x:b/>
      <x:sz val="48"/>
      <x:color theme="1"/>
      <x:name val="Calibri"/>
      <x:family val="2"/>
      <x:scheme val="minor"/>
    </x:font>
    <x:font>
      <x:sz val="20"/>
      <x:color theme="4" tint="-0.499984740745262"/>
      <x:name val="Calibri"/>
      <x:family val="2"/>
      <x:scheme val="minor"/>
    </x:font>
    <x:font>
      <x:sz val="11"/>
      <x:color theme="1"/>
      <x:name val="Calibri"/>
      <x:family val="2"/>
    </x:font>
    <x:font>
      <x:i/>
      <x:sz val="11"/>
      <x:color rgb="FFFF0000"/>
      <x:name val="Calibri"/>
      <x:family val="2"/>
      <x:scheme val="minor"/>
    </x:font>
    <x:font>
      <x:i/>
      <x:sz val="12"/>
      <x:color rgb="FFFF0000"/>
      <x:name val="Calibri"/>
      <x:family val="2"/>
      <x:scheme val="minor"/>
    </x:font>
    <x:font>
      <x:sz val="11"/>
      <x:name val="Calibri"/>
      <x:family val="2"/>
    </x:font>
    <x:font>
      <x:vertAlign val="baseline"/>
      <x:sz val="12"/>
      <x:color theme="1"/>
      <x:name val="Arial"/>
      <x:family val="2"/>
      <x:scheme val="minor"/>
    </x:font>
    <x:font>
      <x:b/>
      <x:vertAlign val="baseline"/>
      <x:sz val="28"/>
      <x:color theme="1"/>
      <x:name val="Arial"/>
      <x:family val="2"/>
      <x:scheme val="minor"/>
    </x:font>
    <x:font>
      <x:b/>
      <x:vertAlign val="baseline"/>
      <x:sz val="12"/>
      <x:color theme="1"/>
      <x:name val="Arial"/>
      <x:family val="2"/>
      <x:scheme val="minor"/>
    </x:font>
    <x:font>
      <x:b/>
      <x:vertAlign val="baseline"/>
      <x:sz val="12"/>
      <x:color theme="0"/>
      <x:name val="Arial"/>
      <x:family val="2"/>
      <x:scheme val="minor"/>
    </x:font>
    <x:font>
      <x:b/>
      <x:vertAlign val="baseline"/>
      <x:sz val="16"/>
      <x:color theme="0"/>
      <x:name val="Arial"/>
      <x:family val="2"/>
      <x:scheme val="minor"/>
    </x:font>
    <x:font>
      <x:vertAlign val="baseline"/>
      <x:sz val="14"/>
      <x:color theme="1"/>
      <x:name val="Arial"/>
      <x:family val="2"/>
      <x:scheme val="minor"/>
    </x:font>
    <x:font>
      <x:vertAlign val="baseline"/>
      <x:sz val="20"/>
      <x:color theme="4" tint="-0.499984740745262"/>
      <x:name val="Arial"/>
      <x:family val="2"/>
      <x:scheme val="minor"/>
    </x:font>
    <x:font>
      <x:vertAlign val="baseline"/>
      <x:sz val="12"/>
      <x:color rgb="FF000000"/>
      <x:name val="Arial"/>
      <x:family val="2"/>
      <x:scheme val="minor"/>
    </x:font>
    <x:font>
      <x:b/>
      <x:vertAlign val="baseline"/>
      <x:sz val="16"/>
      <x:color theme="1"/>
      <x:name val="Arial"/>
      <x:family val="2"/>
      <x:scheme val="minor"/>
    </x:font>
    <x:font>
      <x:vertAlign val="baseline"/>
      <x:sz val="10"/>
      <x:color theme="1"/>
      <x:name val="Arial"/>
      <x:family val="2"/>
      <x:scheme val="minor"/>
    </x:font>
    <x:font>
      <x:vertAlign val="baseline"/>
      <x:sz val="11"/>
      <x:color rgb="FF000000"/>
      <x:name val="Arial"/>
      <x:family val="2"/>
      <x:scheme val="minor"/>
    </x:font>
    <x:font>
      <x:vertAlign val="baseline"/>
      <x:sz val="11"/>
      <x:color theme="1"/>
      <x:name val="Arial"/>
      <x:family val="2"/>
      <x:scheme val="minor"/>
    </x:font>
    <x:font>
      <x:b/>
      <x:vertAlign val="baseline"/>
      <x:sz val="48"/>
      <x:color theme="1"/>
      <x:name val="Arial"/>
      <x:family val="2"/>
      <x:scheme val="minor"/>
    </x:font>
    <x:font>
      <x:b/>
      <x:vertAlign val="baseline"/>
      <x:sz val="14"/>
      <x:color theme="1"/>
      <x:name val="Arial"/>
      <x:family val="2"/>
      <x:scheme val="minor"/>
    </x:font>
    <x:font>
      <x:b/>
      <x:vertAlign val="baseline"/>
      <x:sz val="14"/>
      <x:color theme="0"/>
      <x:name val="Arial"/>
      <x:family val="2"/>
      <x:scheme val="minor"/>
    </x:font>
    <x:font>
      <x:b/>
      <x:vertAlign val="baseline"/>
      <x:sz val="36"/>
      <x:color theme="1"/>
      <x:name val="Arial"/>
      <x:family val="2"/>
      <x:scheme val="minor"/>
    </x:font>
    <x:font>
      <x:b/>
      <x:vertAlign val="baseline"/>
      <x:sz val="22"/>
      <x:color theme="1"/>
      <x:name val="Arial"/>
      <x:family val="2"/>
      <x:scheme val="minor"/>
    </x:font>
    <x:font>
      <x:b/>
      <x:vertAlign val="baseline"/>
      <x:sz val="24"/>
      <x:color theme="1"/>
      <x:name val="Arial"/>
      <x:family val="2"/>
      <x:scheme val="minor"/>
    </x:font>
    <x:font>
      <x:vertAlign val="baseline"/>
      <x:sz val="12"/>
      <x:color rgb="FFFF0000"/>
      <x:name val="Arial"/>
      <x:family val="2"/>
      <x:scheme val="minor"/>
    </x:font>
    <x:font>
      <x:b/>
      <x:vertAlign val="baseline"/>
      <x:sz val="11"/>
      <x:color rgb="FF000000"/>
      <x:name val="Arial"/>
      <x:family val="2"/>
      <x:scheme val="minor"/>
    </x:font>
    <x:font>
      <x:b/>
      <x:i/>
      <x:vertAlign val="baseline"/>
      <x:sz val="11"/>
      <x:color rgb="FF000000"/>
      <x:name val="Arial"/>
      <x:family val="2"/>
      <x:scheme val="minor"/>
    </x:font>
    <x:font>
      <x:i/>
      <x:vertAlign val="baseline"/>
      <x:sz val="11"/>
      <x:color rgb="FF000000"/>
      <x:name val="Arial"/>
      <x:family val="2"/>
      <x:scheme val="minor"/>
    </x:font>
    <x:font>
      <x:vertAlign val="baseline"/>
      <x:sz val="11"/>
      <x:color rgb="FF000000"/>
      <x:name val="Arial"/>
      <x:family val="2"/>
    </x:font>
    <x:font>
      <x:vertAlign val="baseline"/>
      <x:sz val="11"/>
      <x:color theme="1"/>
      <x:name val="Arial"/>
      <x:family val="3"/>
    </x:font>
    <x:font>
      <x:b/>
      <x:vertAlign val="baseline"/>
      <x:sz val="10"/>
      <x:color theme="1"/>
      <x:name val="Arial"/>
      <x:family val="2"/>
      <x:scheme val="minor"/>
    </x:font>
    <x:font>
      <x:vertAlign val="baseline"/>
      <x:sz val="10"/>
      <x:color theme="1"/>
      <x:name val="Arial"/>
      <x:family val="3"/>
    </x:font>
  </x:fonts>
  <x:fills count="29">
    <x:fill>
      <x:patternFill patternType="none"/>
    </x:fill>
    <x:fill>
      <x:patternFill patternType="gray125"/>
    </x:fill>
    <x:fill>
      <x:patternFill patternType="solid">
        <x:fgColor theme="0" tint="-0.499984740745262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3" tint="0.79998168889431442"/>
        <x:bgColor indexed="64"/>
      </x:patternFill>
    </x:fill>
    <x:fill>
      <x:patternFill patternType="solid">
        <x:fgColor theme="1" tint="0.34998626667073579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8" tint="-0.499984740745262"/>
        <x:bgColor indexed="64"/>
      </x:patternFill>
    </x:fill>
    <x:fill>
      <x:patternFill patternType="solid">
        <x:fgColor theme="8" tint="-0.249977111117893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6" tint="0.39997558519241921"/>
        <x:bgColor indexed="64"/>
      </x:patternFill>
    </x:fill>
    <x:fill>
      <x:patternFill patternType="solid">
        <x:fgColor theme="1"/>
        <x:bgColor indexed="64"/>
      </x:patternFill>
    </x:fill>
    <x:fill>
      <x:patternFill patternType="mediumGray">
        <x:fgColor auto="1"/>
        <x:bgColor theme="9" tint="0.59999389629810485"/>
      </x:patternFill>
    </x:fill>
    <x:fill>
      <x:patternFill patternType="mediumGray">
        <x:fgColor auto="1"/>
        <x:bgColor theme="8" tint="0.59999389629810485"/>
      </x:patternFill>
    </x:fill>
    <x:fill>
      <x:patternFill patternType="mediumGray">
        <x:fgColor auto="1"/>
        <x:bgColor theme="7" tint="0.59999389629810485"/>
      </x:patternFill>
    </x:fill>
    <x:fill>
      <x:patternFill patternType="mediumGray">
        <x:fgColor auto="1"/>
        <x:bgColor theme="6" tint="0.59999389629810485"/>
      </x:patternFill>
    </x:fill>
    <x:fill>
      <x:patternFill patternType="mediumGray">
        <x:fgColor auto="1"/>
        <x:bgColor theme="5" tint="0.59999389629810485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0" tint="-0.14993743705557422"/>
        <x:bgColor indexed="64"/>
      </x:patternFill>
    </x:fill>
    <x:fill>
      <x:patternFill patternType="solid">
        <x:fgColor theme="4" tint="0.59996337778862885"/>
        <x:bgColor indexed="64"/>
      </x:patternFill>
    </x:fill>
  </x:fills>
  <x:borders count="60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 style="medium">
        <x:color rgb="FFFF0000"/>
      </x:top>
      <x:bottom/>
      <x:diagonal/>
    </x:border>
    <x:border>
      <x:left/>
      <x:right style="medium">
        <x:color rgb="FFFF0000"/>
      </x:right>
      <x:top style="medium">
        <x:color rgb="FFFF0000"/>
      </x:top>
      <x:bottom/>
      <x:diagonal/>
    </x:border>
    <x:border>
      <x:left style="medium">
        <x:color rgb="FFFF0000"/>
      </x:left>
      <x:right/>
      <x:top/>
      <x:bottom/>
      <x:diagonal/>
    </x:border>
    <x:border>
      <x:left/>
      <x:right style="medium">
        <x:color rgb="FFFF0000"/>
      </x:right>
      <x:top/>
      <x:bottom/>
      <x:diagonal/>
    </x:border>
    <x:border>
      <x:left style="medium">
        <x:color rgb="FFFF0000"/>
      </x:left>
      <x:right/>
      <x:top/>
      <x:bottom style="medium">
        <x:color rgb="FFFF0000"/>
      </x:bottom>
      <x:diagonal/>
    </x:border>
    <x:border>
      <x:left/>
      <x:right/>
      <x:top/>
      <x:bottom style="medium">
        <x:color rgb="FFFF0000"/>
      </x:bottom>
      <x:diagonal/>
    </x:border>
    <x:border>
      <x:left/>
      <x:right style="medium">
        <x:color rgb="FFFF0000"/>
      </x:right>
      <x:top/>
      <x:bottom style="medium">
        <x:color rgb="FFFF0000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FF0000"/>
      </x:left>
      <x:right style="medium">
        <x:color rgb="FFFF0000"/>
      </x:right>
      <x:top style="medium">
        <x:color rgb="FFFF0000"/>
      </x:top>
      <x:bottom style="medium">
        <x:color rgb="FFFF0000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510">
    <x:xf numFmtId="0" fontId="0" fillId="0" borderId="0"/>
    <x:xf numFmtId="0" fontId="11" fillId="0" borderId="0"/>
    <x:xf numFmtId="0" fontId="12" fillId="0" borderId="0"/>
    <x:xf numFmtId="0" fontId="25" fillId="0" borderId="0" applyNumberFormat="1" applyFill="1" applyBorder="0" applyAlignment="1" applyProtection="1">
      <x:protection locked="1" hidden="0"/>
    </x:xf>
    <x:xf numFmtId="0" fontId="25" fillId="0" borderId="8" applyNumberFormat="1" applyFill="1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  <x:xf numFmtId="0" fontId="13" fillId="2" borderId="16" applyNumberFormat="1" applyFill="0" applyBorder="1" applyAlignment="1" applyProtection="1">
      <x:protection locked="1" hidden="0"/>
    </x:xf>
    <x:xf numFmtId="9" fontId="0" fillId="26" borderId="23" applyNumberFormat="1" applyFill="0" applyBorder="1" applyAlignment="1" applyProtection="1">
      <x:protection locked="0" hidden="0"/>
    </x:xf>
    <x:xf numFmtId="0" fontId="14" fillId="14" borderId="31" applyNumberFormat="1" applyFill="0" applyBorder="1" applyAlignment="1" applyProtection="1">
      <x:protection locked="1" hidden="0"/>
    </x:xf>
    <x:xf numFmtId="2" fontId="14" fillId="14" borderId="31" applyNumberFormat="1" applyFill="0" applyBorder="1" applyAlignment="1" applyProtection="1">
      <x:protection locked="1" hidden="1"/>
    </x:xf>
    <x:xf numFmtId="0" fontId="0" fillId="0" borderId="6" applyNumberFormat="1" applyFill="1" applyBorder="1" applyAlignment="1" applyProtection="1">
      <x:protection locked="1" hidden="1"/>
    </x:xf>
    <x:xf numFmtId="0" fontId="0" fillId="0" borderId="41" applyNumberFormat="1" applyFill="1" applyBorder="1" applyAlignment="1" applyProtection="1">
      <x:protection locked="1" hidden="0"/>
    </x:xf>
    <x:xf numFmtId="0" fontId="28" fillId="9" borderId="52" applyNumberFormat="1" applyFill="0" applyBorder="1" applyAlignment="1" applyProtection="1">
      <x:protection locked="1" hidden="0"/>
    </x:xf>
    <x:xf numFmtId="0" fontId="0" fillId="0" borderId="38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30" fillId="0" borderId="7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" fontId="0" fillId="25" borderId="15" applyNumberFormat="1" applyFill="0" applyBorder="1" applyAlignment="1" applyProtection="1">
      <x:protection locked="0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1"/>
    </x:xf>
    <x:xf numFmtId="0" fontId="0" fillId="0" borderId="12" applyNumberFormat="1" applyFill="1" applyBorder="1" applyAlignment="1" applyProtection="1">
      <x:protection locked="1" hidden="1"/>
    </x:xf>
    <x:xf numFmtId="0" fontId="0" fillId="0" borderId="4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4" fontId="0" fillId="25" borderId="15" applyNumberFormat="1" applyFill="0" applyBorder="1" applyAlignment="1" applyProtection="1">
      <x:protection locked="0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1"/>
    </x:xf>
    <x:xf numFmtId="0" fontId="0" fillId="0" borderId="10" applyNumberFormat="1" applyFill="1" applyBorder="1" applyAlignment="1" applyProtection="1">
      <x:protection locked="1" hidden="1"/>
    </x:xf>
    <x:xf numFmtId="164" fontId="0" fillId="0" borderId="12" applyNumberFormat="1" applyFill="1" applyBorder="1" applyAlignment="1" applyProtection="1">
      <x:protection locked="1" hidden="0"/>
    </x:xf>
    <x:xf numFmtId="44" fontId="0" fillId="26" borderId="15" applyNumberFormat="1" applyFill="0" applyBorder="1" applyAlignment="1" applyProtection="1">
      <x:protection locked="0" hidden="0"/>
    </x:xf>
    <x:xf numFmtId="0" fontId="13" fillId="15" borderId="11" applyNumberFormat="1" applyFill="0" applyBorder="1" applyAlignment="1" applyProtection="1">
      <x:protection locked="1" hidden="0"/>
    </x:xf>
    <x:xf numFmtId="2" fontId="13" fillId="15" borderId="31" applyNumberFormat="1" applyFill="0" applyBorder="1" applyAlignment="1" applyProtection="1">
      <x:protection locked="1" hidden="1"/>
    </x:xf>
    <x:xf numFmtId="44" fontId="0" fillId="27" borderId="15" applyNumberFormat="1" applyFill="0" applyBorder="1" applyAlignment="1" applyProtection="1">
      <x:protection locked="1" hidden="1"/>
    </x:xf>
    <x:xf numFmtId="2" fontId="0" fillId="27" borderId="15" applyNumberFormat="1" applyFill="0" applyBorder="1" applyAlignment="1" applyProtection="1">
      <x:protection locked="1" hidden="1"/>
    </x:xf>
    <x:xf numFmtId="0" fontId="5" fillId="8" borderId="31" applyNumberFormat="1" applyFill="0" applyBorder="1" applyAlignment="1" applyProtection="1">
      <x:protection locked="1" hidden="0"/>
    </x:xf>
    <x:xf numFmtId="2" fontId="5" fillId="8" borderId="31" applyNumberFormat="1" applyFill="0" applyBorder="1" applyAlignment="1" applyProtection="1">
      <x:protection locked="1" hidden="1"/>
    </x:xf>
    <x:xf numFmtId="0" fontId="0" fillId="26" borderId="15" applyNumberFormat="1" applyFill="0" applyBorder="1" applyAlignment="1" applyProtection="1">
      <x:protection locked="0" hidden="0"/>
    </x:xf>
    <x:xf numFmtId="0" fontId="5" fillId="24" borderId="31" applyNumberFormat="1" applyFill="0" applyBorder="1" applyAlignment="1" applyProtection="1">
      <x:protection locked="1" hidden="0"/>
    </x:xf>
    <x:xf numFmtId="2" fontId="5" fillId="24" borderId="31" applyNumberFormat="1" applyFill="0" applyBorder="1" applyAlignment="1" applyProtection="1">
      <x:protection locked="1" hidden="1"/>
    </x:xf>
    <x:xf numFmtId="0" fontId="5" fillId="9" borderId="31" applyNumberFormat="1" applyFill="0" applyBorder="1" applyAlignment="1" applyProtection="1">
      <x:protection locked="1" hidden="0"/>
    </x:xf>
    <x:xf numFmtId="2" fontId="5" fillId="9" borderId="31" applyNumberFormat="1" applyFill="0" applyBorder="1" applyAlignment="1" applyProtection="1">
      <x:protection locked="1" hidden="1"/>
    </x:xf>
    <x:xf numFmtId="0" fontId="16" fillId="0" borderId="13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15" fillId="16" borderId="31" applyNumberFormat="1" applyFill="0" applyBorder="1" applyAlignment="1" applyProtection="1">
      <x:protection locked="1" hidden="0"/>
    </x:xf>
    <x:xf numFmtId="44" fontId="15" fillId="16" borderId="31" applyNumberFormat="1" applyFill="0" applyBorder="1" applyAlignment="1" applyProtection="1">
      <x:protection locked="1" hidden="1"/>
    </x:xf>
    <x:xf numFmtId="2" fontId="0" fillId="0" borderId="0" applyNumberFormat="1" applyFill="1" applyBorder="0" applyAlignment="1" applyProtection="1">
      <x:protection locked="1" hidden="0"/>
    </x:xf>
    <x:xf numFmtId="9" fontId="0" fillId="26" borderId="15" applyNumberFormat="1" applyFill="0" applyBorder="1" applyAlignment="1" applyProtection="1">
      <x:protection locked="0" hidden="0"/>
    </x:xf>
    <x:xf numFmtId="0" fontId="0" fillId="0" borderId="28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5" fillId="0" borderId="22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54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51" applyNumberFormat="1" applyFill="1" applyBorder="1" applyAlignment="1" applyProtection="1">
      <x:protection locked="1" hidden="0"/>
    </x:xf>
    <x:xf numFmtId="44" fontId="0" fillId="13" borderId="15" applyNumberFormat="1" applyFill="0" applyBorder="1" applyAlignment="1" applyProtection="1">
      <x:protection locked="0" hidden="0"/>
    </x:xf>
    <x:xf numFmtId="0" fontId="13" fillId="2" borderId="18" applyNumberFormat="1" applyFill="0" applyBorder="1" applyAlignment="1" applyProtection="1">
      <x:protection locked="1" hidden="0"/>
    </x:xf>
    <x:xf numFmtId="9" fontId="0" fillId="26" borderId="20" applyNumberFormat="1" applyFill="0" applyBorder="1" applyAlignment="1" applyProtection="1">
      <x:protection locked="0" hidden="0"/>
    </x:xf>
    <x:xf numFmtId="0" fontId="0" fillId="5" borderId="5" applyNumberFormat="1" applyFill="0" applyBorder="1" applyAlignment="1" applyProtection="1">
      <x:protection locked="0" hidden="0"/>
    </x:xf>
    <x:xf numFmtId="0" fontId="10" fillId="5" borderId="6" applyNumberFormat="1" applyFill="0" applyBorder="1" applyAlignment="1" applyProtection="1">
      <x:protection locked="0" hidden="0"/>
    </x:xf>
    <x:xf numFmtId="0" fontId="3" fillId="5" borderId="13" applyNumberFormat="1" applyFill="0" applyBorder="1" applyAlignment="1" applyProtection="1">
      <x:protection locked="0" hidden="0"/>
    </x:xf>
    <x:xf numFmtId="0" fontId="0" fillId="0" borderId="12" applyNumberFormat="1" applyFill="1" applyBorder="1" applyAlignment="1" applyProtection="1">
      <x:protection locked="0" hidden="0"/>
    </x:xf>
    <x:xf numFmtId="44" fontId="0" fillId="12" borderId="15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0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55" applyNumberFormat="1" applyFill="1" applyBorder="1" applyAlignment="1" applyProtection="1">
      <x:protection locked="1" hidden="0"/>
    </x:xf>
    <x:xf numFmtId="44" fontId="0" fillId="12" borderId="20" applyNumberFormat="1" applyFill="0" applyBorder="1" applyAlignment="1" applyProtection="1">
      <x:protection locked="1" hidden="0"/>
    </x:xf>
    <x:xf numFmtId="0" fontId="0" fillId="0" borderId="42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2" fontId="5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0" hidden="0"/>
    </x:xf>
    <x:xf numFmtId="0" fontId="0" fillId="0" borderId="10" applyNumberFormat="1" applyFill="1" applyBorder="1" applyAlignment="1" applyProtection="1">
      <x:protection locked="0" hidden="0"/>
    </x:xf>
    <x:xf numFmtId="0" fontId="0" fillId="0" borderId="24" applyNumberFormat="1" applyFill="1" applyBorder="1" applyAlignment="1" applyProtection="1">
      <x:protection locked="1" hidden="0"/>
    </x:xf>
    <x:xf numFmtId="0" fontId="0" fillId="0" borderId="35" applyNumberFormat="1" applyFill="1" applyBorder="1" applyAlignment="1" applyProtection="1">
      <x:protection locked="1" hidden="0"/>
    </x:xf>
    <x:xf numFmtId="0" fontId="0" fillId="0" borderId="37" applyNumberFormat="1" applyFill="1" applyBorder="1" applyAlignment="1" applyProtection="1">
      <x:protection locked="1" hidden="0"/>
    </x:xf>
    <x:xf numFmtId="0" fontId="29" fillId="0" borderId="31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22" fillId="3" borderId="22" applyNumberFormat="1" applyFill="0" applyBorder="1" applyAlignment="1" applyProtection="1">
      <x:protection locked="1" hidden="0"/>
    </x:xf>
    <x:xf numFmtId="0" fontId="22" fillId="4" borderId="31" applyNumberFormat="1" applyFill="0" applyBorder="1" applyAlignment="1" applyProtection="1">
      <x:protection locked="1" hidden="0"/>
    </x:xf>
    <x:xf numFmtId="0" fontId="0" fillId="0" borderId="34" applyNumberFormat="1" applyFill="1" applyBorder="1" applyAlignment="1" applyProtection="1">
      <x:protection locked="1" hidden="0"/>
    </x:xf>
    <x:xf numFmtId="0" fontId="13" fillId="2" borderId="2" applyNumberFormat="1" applyFill="0" applyBorder="1" applyAlignment="1" applyProtection="1">
      <x:protection locked="1" hidden="0"/>
    </x:xf>
    <x:xf numFmtId="0" fontId="13" fillId="2" borderId="17" applyNumberFormat="1" applyFill="0" applyBorder="1" applyAlignment="1" applyProtection="1">
      <x:protection locked="1" hidden="0"/>
    </x:xf>
    <x:xf numFmtId="0" fontId="0" fillId="0" borderId="27" applyNumberFormat="1" applyFill="1" applyBorder="1" applyAlignment="1" applyProtection="1">
      <x:protection locked="1" hidden="0"/>
    </x:xf>
    <x:xf numFmtId="0" fontId="13" fillId="2" borderId="46" applyNumberFormat="1" applyFill="0" applyBorder="1" applyAlignment="1" applyProtection="1">
      <x:protection locked="1" hidden="0"/>
    </x:xf>
    <x:xf numFmtId="0" fontId="13" fillId="2" borderId="25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0" fillId="0" borderId="47" applyNumberFormat="1" applyFill="1" applyBorder="1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5" fillId="3" borderId="16" applyNumberFormat="1" applyFill="0" applyBorder="1" applyAlignment="1" applyProtection="1">
      <x:protection locked="1" hidden="0"/>
    </x:xf>
    <x:xf numFmtId="2" fontId="0" fillId="3" borderId="2" applyNumberFormat="1" applyFill="0" applyBorder="1" applyAlignment="1" applyProtection="1">
      <x:protection locked="1" hidden="0"/>
    </x:xf>
    <x:xf numFmtId="2" fontId="0" fillId="19" borderId="2" applyNumberFormat="1" applyFill="0" applyBorder="1" applyAlignment="1" applyProtection="1">
      <x:protection locked="1" hidden="0"/>
    </x:xf>
    <x:xf numFmtId="2" fontId="0" fillId="19" borderId="1" applyNumberFormat="1" applyFill="0" applyBorder="1" applyAlignment="1" applyProtection="1">
      <x:protection locked="1" hidden="0"/>
    </x:xf>
    <x:xf numFmtId="44" fontId="5" fillId="3" borderId="15" applyNumberFormat="1" applyFill="0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0" fontId="5" fillId="4" borderId="16" applyNumberFormat="1" applyFill="0" applyBorder="1" applyAlignment="1" applyProtection="1">
      <x:protection locked="1" hidden="0"/>
    </x:xf>
    <x:xf numFmtId="2" fontId="0" fillId="4" borderId="2" applyNumberFormat="1" applyFill="0" applyBorder="1" applyAlignment="1" applyProtection="1">
      <x:protection locked="1" hidden="0"/>
    </x:xf>
    <x:xf numFmtId="2" fontId="0" fillId="20" borderId="2" applyNumberFormat="1" applyFill="0" applyBorder="1" applyAlignment="1" applyProtection="1">
      <x:protection locked="1" hidden="0"/>
    </x:xf>
    <x:xf numFmtId="2" fontId="0" fillId="20" borderId="1" applyNumberFormat="1" applyFill="0" applyBorder="1" applyAlignment="1" applyProtection="1">
      <x:protection locked="1" hidden="0"/>
    </x:xf>
    <x:xf numFmtId="44" fontId="5" fillId="4" borderId="15" applyNumberFormat="1" applyFill="0" applyBorder="1" applyAlignment="1" applyProtection="1">
      <x:protection locked="1" hidden="0"/>
    </x:xf>
    <x:xf numFmtId="1" fontId="13" fillId="2" borderId="2" applyNumberFormat="1" applyFill="0" applyBorder="1" applyAlignment="1" applyProtection="1">
      <x:protection locked="1" hidden="0"/>
    </x:xf>
    <x:xf numFmtId="44" fontId="13" fillId="2" borderId="2" applyNumberFormat="1" applyFill="0" applyBorder="1" applyAlignment="1" applyProtection="1">
      <x:protection locked="1" hidden="0"/>
    </x:xf>
    <x:xf numFmtId="0" fontId="13" fillId="2" borderId="45" applyNumberFormat="1" applyFill="0" applyBorder="1" applyAlignment="1" applyProtection="1">
      <x:protection locked="1" hidden="0"/>
    </x:xf>
    <x:xf numFmtId="1" fontId="13" fillId="2" borderId="3" applyNumberFormat="1" applyFill="0" applyBorder="1" applyAlignment="1" applyProtection="1">
      <x:protection locked="1" hidden="0"/>
    </x:xf>
    <x:xf numFmtId="44" fontId="13" fillId="2" borderId="20" applyNumberFormat="1" applyFill="0" applyBorder="1" applyAlignment="1" applyProtection="1">
      <x:protection locked="1" hidden="0"/>
    </x:xf>
    <x:xf numFmtId="0" fontId="0" fillId="0" borderId="48" applyNumberFormat="1" applyFill="1" applyBorder="1" applyAlignment="1" applyProtection="1">
      <x:protection locked="1" hidden="0"/>
    </x:xf>
    <x:xf numFmtId="0" fontId="22" fillId="3" borderId="16" applyNumberFormat="1" applyFill="0" applyBorder="1" applyAlignment="1" applyProtection="1">
      <x:protection locked="1" hidden="0"/>
    </x:xf>
    <x:xf numFmtId="0" fontId="0" fillId="0" borderId="56" applyNumberFormat="1" applyFill="1" applyBorder="1" applyAlignment="1" applyProtection="1">
      <x:protection locked="1" hidden="0"/>
    </x:xf>
    <x:xf numFmtId="0" fontId="13" fillId="2" borderId="15" applyNumberFormat="1" applyFill="0" applyBorder="1" applyAlignment="1" applyProtection="1">
      <x:protection locked="1" hidden="0"/>
    </x:xf>
    <x:xf numFmtId="1" fontId="0" fillId="13" borderId="2" applyNumberFormat="1" applyFill="0" applyBorder="1" applyAlignment="1" applyProtection="1">
      <x:protection locked="0" hidden="0"/>
    </x:xf>
    <x:xf numFmtId="44" fontId="5" fillId="28" borderId="15" applyNumberFormat="1" applyFill="0" applyBorder="1" applyAlignment="1" applyProtection="1">
      <x:protection locked="1" hidden="0"/>
    </x:xf>
    <x:xf numFmtId="44" fontId="13" fillId="2" borderId="15" applyNumberFormat="1" applyFill="0" applyBorder="1" applyAlignment="1" applyProtection="1">
      <x:protection locked="1" hidden="0"/>
    </x:xf>
    <x:xf numFmtId="0" fontId="0" fillId="13" borderId="0" applyNumberFormat="1" applyFill="0" applyBorder="0" applyAlignment="1" applyProtection="1">
      <x:protection locked="0" hidden="0"/>
    </x:xf>
    <x:xf numFmtId="44" fontId="5" fillId="3" borderId="2" applyNumberFormat="1" applyFill="0" applyBorder="1" applyAlignment="1" applyProtection="1">
      <x:protection locked="1" hidden="0"/>
    </x:xf>
    <x:xf numFmtId="0" fontId="27" fillId="2" borderId="18" applyNumberFormat="1" applyFill="0" applyBorder="1" applyAlignment="1" applyProtection="1">
      <x:protection locked="1" hidden="0"/>
    </x:xf>
    <x:xf numFmtId="0" fontId="0" fillId="4" borderId="31" applyNumberFormat="1" applyFill="0" applyBorder="1" applyAlignment="1" applyProtection="1">
      <x:protection locked="1" hidden="0"/>
    </x:xf>
    <x:xf numFmtId="0" fontId="27" fillId="2" borderId="48" applyNumberFormat="1" applyFill="0" applyBorder="1" applyAlignment="1" applyProtection="1">
      <x:protection locked="1" hidden="0"/>
    </x:xf>
    <x:xf numFmtId="0" fontId="0" fillId="3" borderId="57" applyNumberFormat="1" applyFill="0" applyBorder="1" applyAlignment="1" applyProtection="1">
      <x:protection locked="1" hidden="0"/>
    </x:xf>
    <x:xf numFmtId="0" fontId="0" fillId="0" borderId="49" applyNumberFormat="1" applyFill="1" applyBorder="1" applyAlignment="1" applyProtection="1">
      <x:protection locked="1" hidden="0"/>
    </x:xf>
    <x:xf numFmtId="44" fontId="26" fillId="3" borderId="34" applyNumberFormat="1" applyFill="0" applyBorder="1" applyAlignment="1" applyProtection="1">
      <x:protection locked="1" hidden="0"/>
    </x:xf>
    <x:xf numFmtId="44" fontId="26" fillId="4" borderId="31" applyNumberFormat="1" applyFill="0" applyBorder="1" applyAlignment="1" applyProtection="1">
      <x:protection locked="1" hidden="0"/>
    </x:xf>
    <x:xf numFmtId="0" fontId="22" fillId="5" borderId="22" applyNumberFormat="1" applyFill="0" applyBorder="1" applyAlignment="1" applyProtection="1">
      <x:protection locked="1" hidden="0"/>
    </x:xf>
    <x:xf numFmtId="0" fontId="22" fillId="6" borderId="31" applyNumberFormat="1" applyFill="0" applyBorder="1" applyAlignment="1" applyProtection="1">
      <x:protection locked="1" hidden="0"/>
    </x:xf>
    <x:xf numFmtId="0" fontId="13" fillId="2" borderId="58" applyNumberFormat="1" applyFill="0" applyBorder="1" applyAlignment="1" applyProtection="1">
      <x:protection locked="1" hidden="0"/>
    </x:xf>
    <x:xf numFmtId="0" fontId="5" fillId="5" borderId="16" applyNumberFormat="1" applyFill="0" applyBorder="1" applyAlignment="1" applyProtection="1">
      <x:protection locked="1" hidden="0"/>
    </x:xf>
    <x:xf numFmtId="2" fontId="0" fillId="5" borderId="2" applyNumberFormat="1" applyFill="0" applyBorder="1" applyAlignment="1" applyProtection="1">
      <x:protection locked="1" hidden="0"/>
    </x:xf>
    <x:xf numFmtId="2" fontId="0" fillId="21" borderId="2" applyNumberFormat="1" applyFill="0" applyBorder="1" applyAlignment="1" applyProtection="1">
      <x:protection locked="1" hidden="0"/>
    </x:xf>
    <x:xf numFmtId="2" fontId="0" fillId="21" borderId="1" applyNumberFormat="1" applyFill="0" applyBorder="1" applyAlignment="1" applyProtection="1">
      <x:protection locked="1" hidden="0"/>
    </x:xf>
    <x:xf numFmtId="44" fontId="5" fillId="5" borderId="15" applyNumberFormat="1" applyFill="0" applyBorder="1" applyAlignment="1" applyProtection="1">
      <x:protection locked="1" hidden="0"/>
    </x:xf>
    <x:xf numFmtId="0" fontId="5" fillId="6" borderId="16" applyNumberFormat="1" applyFill="0" applyBorder="1" applyAlignment="1" applyProtection="1">
      <x:protection locked="1" hidden="0"/>
    </x:xf>
    <x:xf numFmtId="2" fontId="0" fillId="6" borderId="2" applyNumberFormat="1" applyFill="0" applyBorder="1" applyAlignment="1" applyProtection="1">
      <x:protection locked="1" hidden="0"/>
    </x:xf>
    <x:xf numFmtId="2" fontId="0" fillId="22" borderId="2" applyNumberFormat="1" applyFill="0" applyBorder="1" applyAlignment="1" applyProtection="1">
      <x:protection locked="1" hidden="0"/>
    </x:xf>
    <x:xf numFmtId="2" fontId="0" fillId="22" borderId="1" applyNumberFormat="1" applyFill="0" applyBorder="1" applyAlignment="1" applyProtection="1">
      <x:protection locked="1" hidden="0"/>
    </x:xf>
    <x:xf numFmtId="44" fontId="5" fillId="6" borderId="2" applyNumberFormat="1" applyFill="0" applyBorder="1" applyAlignment="1" applyProtection="1">
      <x:protection locked="1" hidden="0"/>
    </x:xf>
    <x:xf numFmtId="44" fontId="13" fillId="2" borderId="19" applyNumberFormat="1" applyFill="0" applyBorder="1" applyAlignment="1" applyProtection="1">
      <x:protection locked="1" hidden="0"/>
    </x:xf>
    <x:xf numFmtId="0" fontId="22" fillId="5" borderId="16" applyNumberFormat="1" applyFill="0" applyBorder="1" applyAlignment="1" applyProtection="1">
      <x:protection locked="1" hidden="0"/>
    </x:xf>
    <x:xf numFmtId="0" fontId="22" fillId="6" borderId="29" applyNumberFormat="1" applyFill="0" applyBorder="1" applyAlignment="1" applyProtection="1">
      <x:protection locked="1" hidden="0"/>
    </x:xf>
    <x:xf numFmtId="0" fontId="0" fillId="0" borderId="59" applyNumberFormat="1" applyFill="1" applyBorder="1" applyAlignment="1" applyProtection="1">
      <x:protection locked="1" hidden="0"/>
    </x:xf>
    <x:xf numFmtId="44" fontId="5" fillId="12" borderId="15" applyNumberFormat="1" applyFill="0" applyBorder="1" applyAlignment="1" applyProtection="1">
      <x:protection locked="1" hidden="0"/>
    </x:xf>
    <x:xf numFmtId="0" fontId="0" fillId="5" borderId="31" applyNumberFormat="1" applyFill="0" applyBorder="1" applyAlignment="1" applyProtection="1">
      <x:protection locked="1" hidden="0"/>
    </x:xf>
    <x:xf numFmtId="0" fontId="27" fillId="2" borderId="36" applyNumberFormat="1" applyFill="0" applyBorder="1" applyAlignment="1" applyProtection="1">
      <x:protection locked="1" hidden="0"/>
    </x:xf>
    <x:xf numFmtId="0" fontId="0" fillId="0" borderId="36" applyNumberFormat="1" applyFill="1" applyBorder="1" applyAlignment="1" applyProtection="1">
      <x:protection locked="1" hidden="0"/>
    </x:xf>
    <x:xf numFmtId="0" fontId="0" fillId="6" borderId="31" applyNumberFormat="1" applyFill="0" applyBorder="1" applyAlignment="1" applyProtection="1">
      <x:protection locked="1" hidden="0"/>
    </x:xf>
    <x:xf numFmtId="44" fontId="26" fillId="5" borderId="34" applyNumberFormat="1" applyFill="0" applyBorder="1" applyAlignment="1" applyProtection="1">
      <x:protection locked="1" hidden="0"/>
    </x:xf>
    <x:xf numFmtId="44" fontId="26" fillId="6" borderId="34" applyNumberFormat="1" applyFill="0" applyBorder="1" applyAlignment="1" applyProtection="1">
      <x:protection locked="1" hidden="0"/>
    </x:xf>
    <x:xf numFmtId="0" fontId="22" fillId="7" borderId="22" applyNumberFormat="1" applyFill="0" applyBorder="1" applyAlignment="1" applyProtection="1">
      <x:protection locked="1" hidden="0"/>
    </x:xf>
    <x:xf numFmtId="0" fontId="5" fillId="7" borderId="16" applyNumberFormat="1" applyFill="0" applyBorder="1" applyAlignment="1" applyProtection="1">
      <x:protection locked="1" hidden="0"/>
    </x:xf>
    <x:xf numFmtId="2" fontId="0" fillId="7" borderId="2" applyNumberFormat="1" applyFill="0" applyBorder="1" applyAlignment="1" applyProtection="1">
      <x:protection locked="1" hidden="0"/>
    </x:xf>
    <x:xf numFmtId="2" fontId="0" fillId="23" borderId="2" applyNumberFormat="1" applyFill="0" applyBorder="1" applyAlignment="1" applyProtection="1">
      <x:protection locked="1" hidden="0"/>
    </x:xf>
    <x:xf numFmtId="2" fontId="0" fillId="23" borderId="1" applyNumberFormat="1" applyFill="0" applyBorder="1" applyAlignment="1" applyProtection="1">
      <x:protection locked="1" hidden="0"/>
    </x:xf>
    <x:xf numFmtId="44" fontId="5" fillId="7" borderId="2" applyNumberFormat="1" applyFill="0" applyBorder="1" applyAlignment="1" applyProtection="1">
      <x:protection locked="1" hidden="0"/>
    </x:xf>
    <x:xf numFmtId="44" fontId="5" fillId="7" borderId="15" applyNumberFormat="1" applyFill="0" applyBorder="1" applyAlignment="1" applyProtection="1">
      <x:protection locked="1" hidden="0"/>
    </x:xf>
    <x:xf numFmtId="0" fontId="22" fillId="7" borderId="16" applyNumberFormat="1" applyFill="0" applyBorder="1" applyAlignment="1" applyProtection="1">
      <x:protection locked="1" hidden="0"/>
    </x:xf>
    <x:xf numFmtId="0" fontId="0" fillId="7" borderId="31" applyNumberFormat="1" applyFill="0" applyBorder="1" applyAlignment="1" applyProtection="1">
      <x:protection locked="1" hidden="0"/>
    </x:xf>
    <x:xf numFmtId="44" fontId="26" fillId="7" borderId="34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1"/>
    </x:xf>
    <x:xf numFmtId="0" fontId="23" fillId="0" borderId="0" applyNumberFormat="1" applyFill="1" applyBorder="0" applyAlignment="1" applyProtection="1">
      <x:protection locked="1" hidden="1"/>
    </x:xf>
    <x:xf numFmtId="2" fontId="0" fillId="0" borderId="0" applyNumberFormat="1" applyFill="1" applyBorder="0" applyAlignment="1" applyProtection="1">
      <x:protection locked="1" hidden="1"/>
    </x:xf>
    <x:xf numFmtId="0" fontId="5" fillId="0" borderId="0" applyNumberFormat="1" applyFill="1" applyBorder="0" applyAlignment="1" applyProtection="1">
      <x:protection locked="1" hidden="1"/>
    </x:xf>
    <x:xf numFmtId="0" fontId="5" fillId="0" borderId="29" applyNumberFormat="1" applyFill="1" applyBorder="1" applyAlignment="1" applyProtection="1">
      <x:protection locked="1" hidden="1"/>
    </x:xf>
    <x:xf numFmtId="0" fontId="0" fillId="0" borderId="28" applyNumberFormat="1" applyFill="1" applyBorder="1" applyAlignment="1" applyProtection="1">
      <x:protection locked="1" hidden="1"/>
    </x:xf>
    <x:xf numFmtId="0" fontId="0" fillId="0" borderId="59" applyNumberFormat="1" applyFill="1" applyBorder="1" applyAlignment="1" applyProtection="1">
      <x:protection locked="1" hidden="1"/>
    </x:xf>
    <x:xf numFmtId="0" fontId="5" fillId="0" borderId="33" applyNumberFormat="1" applyFill="1" applyBorder="1" applyAlignment="1" applyProtection="1">
      <x:protection locked="1" hidden="1"/>
    </x:xf>
    <x:xf numFmtId="0" fontId="5" fillId="0" borderId="31" applyNumberFormat="1" applyFill="1" applyBorder="1" applyAlignment="1" applyProtection="1">
      <x:protection locked="1" hidden="1"/>
    </x:xf>
    <x:xf numFmtId="0" fontId="5" fillId="0" borderId="46" applyNumberFormat="1" applyFill="1" applyBorder="1" applyAlignment="1" applyProtection="1">
      <x:protection locked="1" hidden="1"/>
    </x:xf>
    <x:xf numFmtId="2" fontId="0" fillId="0" borderId="25" applyNumberFormat="1" applyFill="1" applyBorder="1" applyAlignment="1" applyProtection="1">
      <x:protection locked="1" hidden="1"/>
    </x:xf>
    <x:xf numFmtId="2" fontId="0" fillId="0" borderId="30" applyNumberFormat="1" applyFill="1" applyBorder="1" applyAlignment="1" applyProtection="1">
      <x:protection locked="1" hidden="1"/>
    </x:xf>
    <x:xf numFmtId="44" fontId="0" fillId="0" borderId="30" applyNumberFormat="1" applyFill="1" applyBorder="1" applyAlignment="1" applyProtection="1">
      <x:protection locked="1" hidden="1"/>
    </x:xf>
    <x:xf numFmtId="44" fontId="0" fillId="0" borderId="26" applyNumberFormat="1" applyFill="1" applyBorder="1" applyAlignment="1" applyProtection="1">
      <x:protection locked="1" hidden="1"/>
    </x:xf>
    <x:xf numFmtId="0" fontId="5" fillId="0" borderId="16" applyNumberFormat="1" applyFill="1" applyBorder="1" applyAlignment="1" applyProtection="1">
      <x:protection locked="1" hidden="1"/>
    </x:xf>
    <x:xf numFmtId="2" fontId="0" fillId="0" borderId="2" applyNumberFormat="1" applyFill="1" applyBorder="1" applyAlignment="1" applyProtection="1">
      <x:protection locked="1" hidden="1"/>
    </x:xf>
    <x:xf numFmtId="2" fontId="0" fillId="0" borderId="1" applyNumberFormat="1" applyFill="1" applyBorder="1" applyAlignment="1" applyProtection="1">
      <x:protection locked="1" hidden="1"/>
    </x:xf>
    <x:xf numFmtId="44" fontId="0" fillId="0" borderId="1" applyNumberFormat="1" applyFill="1" applyBorder="1" applyAlignment="1" applyProtection="1">
      <x:protection locked="1" hidden="1"/>
    </x:xf>
    <x:xf numFmtId="44" fontId="0" fillId="0" borderId="15" applyNumberFormat="1" applyFill="1" applyBorder="1" applyAlignment="1" applyProtection="1">
      <x:protection locked="1" hidden="1"/>
    </x:xf>
    <x:xf numFmtId="2" fontId="0" fillId="18" borderId="1" applyNumberFormat="1" applyFill="0" applyBorder="1" applyAlignment="1" applyProtection="1">
      <x:protection locked="1" hidden="1"/>
    </x:xf>
    <x:xf numFmtId="0" fontId="5" fillId="0" borderId="18" applyNumberFormat="1" applyFill="1" applyBorder="1" applyAlignment="1" applyProtection="1">
      <x:protection locked="1" hidden="1"/>
    </x:xf>
    <x:xf numFmtId="2" fontId="0" fillId="0" borderId="3" applyNumberFormat="1" applyFill="1" applyBorder="1" applyAlignment="1" applyProtection="1">
      <x:protection locked="1" hidden="1"/>
    </x:xf>
    <x:xf numFmtId="2" fontId="0" fillId="18" borderId="24" applyNumberFormat="1" applyFill="0" applyBorder="1" applyAlignment="1" applyProtection="1">
      <x:protection locked="1" hidden="1"/>
    </x:xf>
    <x:xf numFmtId="44" fontId="0" fillId="0" borderId="24" applyNumberFormat="1" applyFill="1" applyBorder="1" applyAlignment="1" applyProtection="1">
      <x:protection locked="1" hidden="1"/>
    </x:xf>
    <x:xf numFmtId="44" fontId="0" fillId="0" borderId="17" applyNumberFormat="1" applyFill="1" applyBorder="1" applyAlignment="1" applyProtection="1">
      <x:protection locked="1" hidden="1"/>
    </x:xf>
    <x:xf numFmtId="2" fontId="5" fillId="0" borderId="31" applyNumberFormat="1" applyFill="1" applyBorder="1" applyAlignment="1" applyProtection="1">
      <x:protection locked="1" hidden="1"/>
    </x:xf>
    <x:xf numFmtId="44" fontId="5" fillId="0" borderId="31" applyNumberFormat="1" applyFill="1" applyBorder="1" applyAlignment="1" applyProtection="1">
      <x:protection locked="1" hidden="1"/>
    </x:xf>
    <x:xf numFmtId="2" fontId="5" fillId="0" borderId="0" applyNumberFormat="1" applyFill="1" applyBorder="0" applyAlignment="1" applyProtection="1">
      <x:protection locked="1" hidden="1"/>
    </x:xf>
    <x:xf numFmtId="44" fontId="5" fillId="0" borderId="0" applyNumberFormat="1" applyFill="1" applyBorder="0" applyAlignment="1" applyProtection="1">
      <x:protection locked="1" hidden="1"/>
    </x:xf>
    <x:xf numFmtId="0" fontId="5" fillId="0" borderId="34" applyNumberFormat="1" applyFill="1" applyBorder="1" applyAlignment="1" applyProtection="1">
      <x:protection locked="1" hidden="1"/>
    </x:xf>
    <x:xf numFmtId="2" fontId="5" fillId="0" borderId="22" applyNumberFormat="1" applyFill="1" applyBorder="1" applyAlignment="1" applyProtection="1">
      <x:protection locked="1" hidden="1"/>
    </x:xf>
    <x:xf numFmtId="44" fontId="0" fillId="0" borderId="21" applyNumberFormat="1" applyFill="1" applyBorder="1" applyAlignment="1" applyProtection="1">
      <x:protection locked="1" hidden="1"/>
    </x:xf>
    <x:xf numFmtId="2" fontId="5" fillId="0" borderId="16" applyNumberFormat="1" applyFill="1" applyBorder="1" applyAlignment="1" applyProtection="1">
      <x:protection locked="1" hidden="1"/>
    </x:xf>
    <x:xf numFmtId="2" fontId="5" fillId="0" borderId="45" applyNumberFormat="1" applyFill="1" applyBorder="1" applyAlignment="1" applyProtection="1">
      <x:protection locked="1" hidden="1"/>
    </x:xf>
    <x:xf numFmtId="0" fontId="22" fillId="0" borderId="31" applyNumberFormat="1" applyFill="1" applyBorder="1" applyAlignment="1" applyProtection="1">
      <x:protection locked="1" hidden="1"/>
    </x:xf>
    <x:xf numFmtId="2" fontId="22" fillId="0" borderId="31" applyNumberFormat="1" applyFill="1" applyBorder="1" applyAlignment="1" applyProtection="1">
      <x:protection locked="1" hidden="1"/>
    </x:xf>
    <x:xf numFmtId="44" fontId="22" fillId="0" borderId="31" applyNumberFormat="1" applyFill="1" applyBorder="1" applyAlignment="1" applyProtection="1">
      <x:protection locked="1" hidden="1"/>
    </x:xf>
    <x:xf numFmtId="0" fontId="0" fillId="0" borderId="34" applyNumberFormat="1" applyFill="1" applyBorder="1" applyAlignment="1" applyProtection="1">
      <x:protection locked="1" hidden="1"/>
    </x:xf>
    <x:xf numFmtId="44" fontId="0" fillId="0" borderId="0" applyNumberFormat="1" applyFill="1" applyBorder="0" applyAlignment="1" applyProtection="1">
      <x:protection locked="1" hidden="1"/>
    </x:xf>
    <x:xf numFmtId="44" fontId="22" fillId="0" borderId="0" applyNumberFormat="1" applyFill="1" applyBorder="0" applyAlignment="1" applyProtection="1">
      <x:protection locked="1" hidden="1"/>
    </x:xf>
    <x:xf numFmtId="0" fontId="24" fillId="0" borderId="0" applyNumberFormat="1" applyFill="1" applyBorder="0" applyAlignment="1" applyProtection="1">
      <x:protection locked="1" hidden="0"/>
    </x:xf>
    <x:xf numFmtId="0" fontId="13" fillId="10" borderId="0" applyNumberFormat="1" applyFill="0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44" fontId="17" fillId="0" borderId="0" applyNumberFormat="1" applyFill="1" applyBorder="0" applyAlignment="1" applyProtection="1">
      <x:protection locked="1" hidden="1"/>
    </x:xf>
    <x:xf numFmtId="1" fontId="0" fillId="0" borderId="0" applyNumberFormat="1" applyFill="1" applyBorder="0" applyAlignment="1" applyProtection="1">
      <x:protection locked="1" hidden="1"/>
    </x:xf>
    <x:xf numFmtId="0" fontId="16" fillId="0" borderId="0" applyNumberFormat="1" applyFill="1" applyBorder="0" applyAlignment="1" applyProtection="1">
      <x:protection locked="1" hidden="0"/>
    </x:xf>
    <x:xf numFmtId="1" fontId="0" fillId="12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2" fontId="19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17" borderId="0" applyNumberFormat="1" applyFill="0" applyBorder="0" applyAlignment="1" applyProtection="1">
      <x:protection locked="1" hidden="0"/>
    </x:xf>
    <x:xf numFmtId="2" fontId="0" fillId="17" borderId="0" applyNumberFormat="1" applyFill="0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1" fontId="1" fillId="0" borderId="0" applyNumberFormat="1" applyFill="1" applyBorder="0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32" fillId="0" borderId="0" applyNumberFormat="1" applyFill="1" applyBorder="0" applyAlignment="1" applyProtection="1">
      <x:protection locked="0" hidden="0"/>
    </x:xf>
    <x:xf numFmtId="0" fontId="0" fillId="0" borderId="50" applyNumberFormat="1" applyFill="1" applyBorder="1" applyAlignment="1" applyProtection="1">
      <x:protection locked="0" hidden="0"/>
    </x:xf>
    <x:xf numFmtId="0" fontId="21" fillId="0" borderId="0" applyNumberFormat="1" applyFill="1" applyBorder="0" applyAlignment="1" applyProtection="1">
      <x:protection locked="0" hidden="0"/>
    </x:xf>
    <x:xf numFmtId="0" fontId="0" fillId="0" borderId="25" applyNumberFormat="1" applyFill="1" applyBorder="1" applyAlignment="1" applyProtection="1">
      <x:protection locked="0" hidden="0"/>
    </x:xf>
    <x:xf numFmtId="0" fontId="2" fillId="4" borderId="0" applyNumberFormat="1" applyFill="0" applyBorder="0" applyAlignment="1" applyProtection="1">
      <x:protection locked="1" hidden="0"/>
    </x:xf>
    <x:xf numFmtId="0" fontId="0" fillId="17" borderId="0" applyNumberFormat="1" applyFill="0" applyBorder="0" applyAlignment="1" applyProtection="1">
      <x:protection locked="0" hidden="0"/>
    </x:xf>
    <x:xf numFmtId="0" fontId="34" fillId="0" borderId="0" applyNumberFormat="1" applyFill="1" applyBorder="0" applyAlignment="1" applyProtection="1">
      <x:protection locked="0" hidden="0"/>
    </x:xf>
    <x:xf numFmtId="1" fontId="31" fillId="0" borderId="0" applyNumberFormat="1" applyFill="1" applyBorder="0" applyAlignment="1" applyProtection="1">
      <x:protection locked="0" hidden="0"/>
    </x:xf>
    <x:xf numFmtId="0" fontId="2" fillId="5" borderId="0" applyNumberFormat="1" applyFill="0" applyBorder="0" applyAlignment="1" applyProtection="1">
      <x:protection locked="1" hidden="0"/>
    </x:xf>
    <x:xf numFmtId="0" fontId="33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0" fontId="2" fillId="6" borderId="0" applyNumberFormat="1" applyFill="0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0" hidden="0"/>
    </x:xf>
    <x:xf numFmtId="0" fontId="17" fillId="0" borderId="0" applyNumberFormat="1" applyFill="1" applyBorder="0" applyAlignment="1" applyProtection="1">
      <x:protection locked="0" hidden="0"/>
    </x:xf>
    <x:xf numFmtId="0" fontId="2" fillId="7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5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6" fillId="0" borderId="8" applyNumberFormat="1" applyFill="1" applyBorder="1" applyAlignment="1" applyProtection="1">
      <x:protection locked="1" hidden="0"/>
    </x:xf>
    <x:xf numFmtId="49" fontId="35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5" fillId="0" borderId="8" applyNumberFormat="1" applyFill="1" applyBorder="1" applyAlignment="1" applyProtection="1">
      <x:protection locked="1" hidden="0"/>
    </x:xf>
    <x:xf numFmtId="44" fontId="35" fillId="0" borderId="0" applyNumberFormat="1" applyFill="1" applyBorder="0" applyAlignment="1" applyProtection="1">
      <x:protection locked="1" hidden="0"/>
    </x:xf>
    <x:xf numFmtId="0" fontId="38" fillId="2" borderId="16" applyNumberFormat="1" applyFill="0" applyBorder="1" applyAlignment="1" applyProtection="1">
      <x:protection locked="1" hidden="0"/>
    </x:xf>
    <x:xf numFmtId="9" fontId="35" fillId="26" borderId="23" applyNumberFormat="1" applyFill="0" applyBorder="1" applyAlignment="1" applyProtection="1">
      <x:protection locked="0" hidden="0"/>
    </x:xf>
    <x:xf numFmtId="0" fontId="39" fillId="14" borderId="31" applyNumberFormat="1" applyFill="0" applyBorder="1" applyAlignment="1" applyProtection="1">
      <x:protection locked="1" hidden="0"/>
    </x:xf>
    <x:xf numFmtId="2" fontId="39" fillId="14" borderId="31" applyNumberFormat="1" applyFill="0" applyBorder="1" applyAlignment="1" applyProtection="1">
      <x:protection locked="1" hidden="1"/>
    </x:xf>
    <x:xf numFmtId="0" fontId="35" fillId="0" borderId="6" applyNumberFormat="1" applyFill="1" applyBorder="1" applyAlignment="1" applyProtection="1">
      <x:protection locked="1" hidden="1"/>
    </x:xf>
    <x:xf numFmtId="0" fontId="35" fillId="0" borderId="41" applyNumberFormat="1" applyFill="1" applyBorder="1" applyAlignment="1" applyProtection="1">
      <x:protection locked="1" hidden="0"/>
    </x:xf>
    <x:xf numFmtId="0" fontId="40" fillId="9" borderId="52" applyNumberFormat="1" applyFill="0" applyBorder="1" applyAlignment="1" applyProtection="1">
      <x:protection locked="1" hidden="0"/>
    </x:xf>
    <x:xf numFmtId="0" fontId="35" fillId="0" borderId="38" applyNumberFormat="1" applyFill="1" applyBorder="1" applyAlignment="1" applyProtection="1">
      <x:protection locked="1" hidden="0"/>
    </x:xf>
    <x:xf numFmtId="0" fontId="35" fillId="0" borderId="39" applyNumberFormat="1" applyFill="1" applyBorder="1" applyAlignment="1" applyProtection="1">
      <x:protection locked="1" hidden="0"/>
    </x:xf>
    <x:xf numFmtId="0" fontId="41" fillId="0" borderId="7" applyNumberFormat="1" applyFill="1" applyBorder="1" applyAlignment="1" applyProtection="1">
      <x:protection locked="1" hidden="0"/>
    </x:xf>
    <x:xf numFmtId="0" fontId="35" fillId="0" borderId="6" applyNumberFormat="1" applyFill="1" applyBorder="1" applyAlignment="1" applyProtection="1">
      <x:protection locked="1" hidden="0"/>
    </x:xf>
    <x:xf numFmtId="1" fontId="35" fillId="25" borderId="15" applyNumberFormat="1" applyFill="0" applyBorder="1" applyAlignment="1" applyProtection="1">
      <x:protection locked="0" hidden="0"/>
    </x:xf>
    <x:xf numFmtId="0" fontId="35" fillId="0" borderId="14" applyNumberFormat="1" applyFill="1" applyBorder="1" applyAlignment="1" applyProtection="1">
      <x:protection locked="1" hidden="0"/>
    </x:xf>
    <x:xf numFmtId="0" fontId="35" fillId="0" borderId="11" applyNumberFormat="1" applyFill="1" applyBorder="1" applyAlignment="1" applyProtection="1">
      <x:protection locked="1" hidden="1"/>
    </x:xf>
    <x:xf numFmtId="0" fontId="35" fillId="0" borderId="12" applyNumberFormat="1" applyFill="1" applyBorder="1" applyAlignment="1" applyProtection="1">
      <x:protection locked="1" hidden="1"/>
    </x:xf>
    <x:xf numFmtId="0" fontId="35" fillId="0" borderId="40" applyNumberFormat="1" applyFill="1" applyBorder="1" applyAlignment="1" applyProtection="1">
      <x:protection locked="1" hidden="0"/>
    </x:xf>
    <x:xf numFmtId="0" fontId="35" fillId="0" borderId="11" applyNumberFormat="1" applyFill="1" applyBorder="1" applyAlignment="1" applyProtection="1">
      <x:protection locked="1" hidden="0"/>
    </x:xf>
    <x:xf numFmtId="0" fontId="35" fillId="0" borderId="12" applyNumberFormat="1" applyFill="1" applyBorder="1" applyAlignment="1" applyProtection="1">
      <x:protection locked="1" hidden="0"/>
    </x:xf>
    <x:xf numFmtId="44" fontId="35" fillId="25" borderId="15" applyNumberFormat="1" applyFill="0" applyBorder="1" applyAlignment="1" applyProtection="1">
      <x:protection locked="0" hidden="0"/>
    </x:xf>
    <x:xf numFmtId="0" fontId="35" fillId="0" borderId="13" applyNumberFormat="1" applyFill="1" applyBorder="1" applyAlignment="1" applyProtection="1">
      <x:protection locked="1" hidden="0"/>
    </x:xf>
    <x:xf numFmtId="0" fontId="35" fillId="0" borderId="9" applyNumberFormat="1" applyFill="1" applyBorder="1" applyAlignment="1" applyProtection="1">
      <x:protection locked="1" hidden="1"/>
    </x:xf>
    <x:xf numFmtId="0" fontId="35" fillId="0" borderId="10" applyNumberFormat="1" applyFill="1" applyBorder="1" applyAlignment="1" applyProtection="1">
      <x:protection locked="1" hidden="1"/>
    </x:xf>
    <x:xf numFmtId="164" fontId="35" fillId="0" borderId="12" applyNumberFormat="1" applyFill="1" applyBorder="1" applyAlignment="1" applyProtection="1">
      <x:protection locked="1" hidden="0"/>
    </x:xf>
    <x:xf numFmtId="44" fontId="35" fillId="26" borderId="15" applyNumberFormat="1" applyFill="0" applyBorder="1" applyAlignment="1" applyProtection="1">
      <x:protection locked="0" hidden="0"/>
    </x:xf>
    <x:xf numFmtId="0" fontId="38" fillId="15" borderId="11" applyNumberFormat="1" applyFill="0" applyBorder="1" applyAlignment="1" applyProtection="1">
      <x:protection locked="1" hidden="0"/>
    </x:xf>
    <x:xf numFmtId="2" fontId="38" fillId="15" borderId="31" applyNumberFormat="1" applyFill="0" applyBorder="1" applyAlignment="1" applyProtection="1">
      <x:protection locked="1" hidden="1"/>
    </x:xf>
    <x:xf numFmtId="44" fontId="35" fillId="27" borderId="15" applyNumberFormat="1" applyFill="0" applyBorder="1" applyAlignment="1" applyProtection="1">
      <x:protection locked="1" hidden="1"/>
    </x:xf>
    <x:xf numFmtId="2" fontId="35" fillId="27" borderId="15" applyNumberFormat="1" applyFill="0" applyBorder="1" applyAlignment="1" applyProtection="1">
      <x:protection locked="1" hidden="1"/>
    </x:xf>
    <x:xf numFmtId="0" fontId="37" fillId="8" borderId="31" applyNumberFormat="1" applyFill="0" applyBorder="1" applyAlignment="1" applyProtection="1">
      <x:protection locked="1" hidden="0"/>
    </x:xf>
    <x:xf numFmtId="2" fontId="37" fillId="8" borderId="31" applyNumberFormat="1" applyFill="0" applyBorder="1" applyAlignment="1" applyProtection="1">
      <x:protection locked="1" hidden="1"/>
    </x:xf>
    <x:xf numFmtId="0" fontId="35" fillId="26" borderId="15" applyNumberFormat="1" applyFill="0" applyBorder="1" applyAlignment="1" applyProtection="1">
      <x:protection locked="0" hidden="0"/>
    </x:xf>
    <x:xf numFmtId="0" fontId="37" fillId="24" borderId="31" applyNumberFormat="1" applyFill="0" applyBorder="1" applyAlignment="1" applyProtection="1">
      <x:protection locked="1" hidden="0"/>
    </x:xf>
    <x:xf numFmtId="2" fontId="37" fillId="24" borderId="31" applyNumberFormat="1" applyFill="0" applyBorder="1" applyAlignment="1" applyProtection="1">
      <x:protection locked="1" hidden="1"/>
    </x:xf>
    <x:xf numFmtId="0" fontId="37" fillId="9" borderId="31" applyNumberFormat="1" applyFill="0" applyBorder="1" applyAlignment="1" applyProtection="1">
      <x:protection locked="1" hidden="0"/>
    </x:xf>
    <x:xf numFmtId="2" fontId="37" fillId="9" borderId="31" applyNumberFormat="1" applyFill="0" applyBorder="1" applyAlignment="1" applyProtection="1">
      <x:protection locked="1" hidden="1"/>
    </x:xf>
    <x:xf numFmtId="0" fontId="42" fillId="0" borderId="13" applyNumberFormat="1" applyFill="1" applyBorder="1" applyAlignment="1" applyProtection="1">
      <x:protection locked="1" hidden="0"/>
    </x:xf>
    <x:xf numFmtId="0" fontId="35" fillId="0" borderId="10" applyNumberFormat="1" applyFill="1" applyBorder="1" applyAlignment="1" applyProtection="1">
      <x:protection locked="1" hidden="0"/>
    </x:xf>
    <x:xf numFmtId="0" fontId="43" fillId="16" borderId="31" applyNumberFormat="1" applyFill="0" applyBorder="1" applyAlignment="1" applyProtection="1">
      <x:protection locked="1" hidden="0"/>
    </x:xf>
    <x:xf numFmtId="44" fontId="43" fillId="16" borderId="31" applyNumberFormat="1" applyFill="0" applyBorder="1" applyAlignment="1" applyProtection="1">
      <x:protection locked="1" hidden="1"/>
    </x:xf>
    <x:xf numFmtId="2" fontId="35" fillId="0" borderId="0" applyNumberFormat="1" applyFill="1" applyBorder="0" applyAlignment="1" applyProtection="1">
      <x:protection locked="1" hidden="0"/>
    </x:xf>
    <x:xf numFmtId="9" fontId="35" fillId="26" borderId="15" applyNumberFormat="1" applyFill="0" applyBorder="1" applyAlignment="1" applyProtection="1">
      <x:protection locked="0" hidden="0"/>
    </x:xf>
    <x:xf numFmtId="0" fontId="35" fillId="0" borderId="28" applyNumberFormat="1" applyFill="1" applyBorder="1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37" fillId="0" borderId="22" applyNumberFormat="1" applyFill="1" applyBorder="1" applyAlignment="1" applyProtection="1">
      <x:protection locked="1" hidden="0"/>
    </x:xf>
    <x:xf numFmtId="0" fontId="35" fillId="0" borderId="53" applyNumberFormat="1" applyFill="1" applyBorder="1" applyAlignment="1" applyProtection="1">
      <x:protection locked="1" hidden="0"/>
    </x:xf>
    <x:xf numFmtId="0" fontId="35" fillId="0" borderId="54" applyNumberFormat="1" applyFill="1" applyBorder="1" applyAlignment="1" applyProtection="1">
      <x:protection locked="1" hidden="0"/>
    </x:xf>
    <x:xf numFmtId="0" fontId="35" fillId="0" borderId="16" applyNumberFormat="1" applyFill="1" applyBorder="1" applyAlignment="1" applyProtection="1">
      <x:protection locked="1" hidden="0"/>
    </x:xf>
    <x:xf numFmtId="0" fontId="35" fillId="0" borderId="51" applyNumberFormat="1" applyFill="1" applyBorder="1" applyAlignment="1" applyProtection="1">
      <x:protection locked="1" hidden="0"/>
    </x:xf>
    <x:xf numFmtId="44" fontId="35" fillId="13" borderId="15" applyNumberFormat="1" applyFill="0" applyBorder="1" applyAlignment="1" applyProtection="1">
      <x:protection locked="0" hidden="0"/>
    </x:xf>
    <x:xf numFmtId="0" fontId="38" fillId="2" borderId="18" applyNumberFormat="1" applyFill="0" applyBorder="1" applyAlignment="1" applyProtection="1">
      <x:protection locked="1" hidden="0"/>
    </x:xf>
    <x:xf numFmtId="9" fontId="35" fillId="26" borderId="20" applyNumberFormat="1" applyFill="0" applyBorder="1" applyAlignment="1" applyProtection="1">
      <x:protection locked="0" hidden="0"/>
    </x:xf>
    <x:xf numFmtId="0" fontId="35" fillId="5" borderId="5" applyNumberFormat="1" applyFill="0" applyBorder="1" applyAlignment="1" applyProtection="1">
      <x:protection locked="0" hidden="0"/>
    </x:xf>
    <x:xf numFmtId="0" fontId="44" fillId="5" borderId="6" applyNumberFormat="1" applyFill="0" applyBorder="1" applyAlignment="1" applyProtection="1">
      <x:protection locked="0" hidden="0"/>
    </x:xf>
    <x:xf numFmtId="0" fontId="45" fillId="5" borderId="13" applyNumberFormat="1" applyFill="0" applyBorder="1" applyAlignment="1" applyProtection="1">
      <x:protection locked="0" hidden="0"/>
    </x:xf>
    <x:xf numFmtId="0" fontId="35" fillId="0" borderId="12" applyNumberFormat="1" applyFill="1" applyBorder="1" applyAlignment="1" applyProtection="1">
      <x:protection locked="0" hidden="0"/>
    </x:xf>
    <x:xf numFmtId="44" fontId="35" fillId="12" borderId="15" applyNumberFormat="1" applyFill="0" applyBorder="1" applyAlignment="1" applyProtection="1">
      <x:protection locked="1" hidden="0"/>
    </x:xf>
    <x:xf numFmtId="0" fontId="35" fillId="0" borderId="11" applyNumberFormat="1" applyFill="1" applyBorder="1" applyAlignment="1" applyProtection="1">
      <x:protection locked="0" hidden="0"/>
    </x:xf>
    <x:xf numFmtId="0" fontId="35" fillId="0" borderId="18" applyNumberFormat="1" applyFill="1" applyBorder="1" applyAlignment="1" applyProtection="1">
      <x:protection locked="1" hidden="0"/>
    </x:xf>
    <x:xf numFmtId="0" fontId="35" fillId="0" borderId="55" applyNumberFormat="1" applyFill="1" applyBorder="1" applyAlignment="1" applyProtection="1">
      <x:protection locked="1" hidden="0"/>
    </x:xf>
    <x:xf numFmtId="44" fontId="35" fillId="12" borderId="20" applyNumberFormat="1" applyFill="0" applyBorder="1" applyAlignment="1" applyProtection="1">
      <x:protection locked="1" hidden="0"/>
    </x:xf>
    <x:xf numFmtId="0" fontId="35" fillId="0" borderId="42" applyNumberFormat="1" applyFill="1" applyBorder="1" applyAlignment="1" applyProtection="1">
      <x:protection locked="1" hidden="0"/>
    </x:xf>
    <x:xf numFmtId="0" fontId="35" fillId="0" borderId="43" applyNumberFormat="1" applyFill="1" applyBorder="1" applyAlignment="1" applyProtection="1">
      <x:protection locked="1" hidden="0"/>
    </x:xf>
    <x:xf numFmtId="0" fontId="35" fillId="0" borderId="44" applyNumberFormat="1" applyFill="1" applyBorder="1" applyAlignment="1" applyProtection="1">
      <x:protection locked="1" hidden="0"/>
    </x:xf>
    <x:xf numFmtId="2" fontId="37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35" fillId="0" borderId="9" applyNumberFormat="1" applyFill="1" applyBorder="1" applyAlignment="1" applyProtection="1">
      <x:protection locked="0" hidden="0"/>
    </x:xf>
    <x:xf numFmtId="0" fontId="35" fillId="0" borderId="10" applyNumberFormat="1" applyFill="1" applyBorder="1" applyAlignment="1" applyProtection="1">
      <x:protection locked="0" hidden="0"/>
    </x:xf>
    <x:xf numFmtId="0" fontId="35" fillId="0" borderId="24" applyNumberFormat="1" applyFill="1" applyBorder="1" applyAlignment="1" applyProtection="1">
      <x:protection locked="1" hidden="0"/>
    </x:xf>
    <x:xf numFmtId="0" fontId="35" fillId="0" borderId="35" applyNumberFormat="1" applyFill="1" applyBorder="1" applyAlignment="1" applyProtection="1">
      <x:protection locked="1" hidden="0"/>
    </x:xf>
    <x:xf numFmtId="0" fontId="35" fillId="0" borderId="37" applyNumberFormat="1" applyFill="1" applyBorder="1" applyAlignment="1" applyProtection="1">
      <x:protection locked="1" hidden="0"/>
    </x:xf>
    <x:xf numFmtId="0" fontId="47" fillId="0" borderId="31" applyNumberFormat="1" applyFill="1" applyBorder="1" applyAlignment="1" applyProtection="1">
      <x:protection locked="1" hidden="0"/>
    </x:xf>
    <x:xf numFmtId="0" fontId="35" fillId="0" borderId="4" applyNumberFormat="1" applyFill="1" applyBorder="1" applyAlignment="1" applyProtection="1">
      <x:protection locked="1" hidden="0"/>
    </x:xf>
    <x:xf numFmtId="0" fontId="35" fillId="0" borderId="9" applyNumberFormat="1" applyFill="1" applyBorder="1" applyAlignment="1" applyProtection="1">
      <x:protection locked="1" hidden="0"/>
    </x:xf>
    <x:xf numFmtId="0" fontId="48" fillId="3" borderId="22" applyNumberFormat="1" applyFill="0" applyBorder="1" applyAlignment="1" applyProtection="1">
      <x:protection locked="1" hidden="0"/>
    </x:xf>
    <x:xf numFmtId="0" fontId="48" fillId="4" borderId="31" applyNumberFormat="1" applyFill="0" applyBorder="1" applyAlignment="1" applyProtection="1">
      <x:protection locked="1" hidden="0"/>
    </x:xf>
    <x:xf numFmtId="0" fontId="35" fillId="0" borderId="34" applyNumberFormat="1" applyFill="1" applyBorder="1" applyAlignment="1" applyProtection="1">
      <x:protection locked="1" hidden="0"/>
    </x:xf>
    <x:xf numFmtId="0" fontId="38" fillId="2" borderId="2" applyNumberFormat="1" applyFill="0" applyBorder="1" applyAlignment="1" applyProtection="1">
      <x:protection locked="1" hidden="0"/>
    </x:xf>
    <x:xf numFmtId="0" fontId="38" fillId="2" borderId="17" applyNumberFormat="1" applyFill="0" applyBorder="1" applyAlignment="1" applyProtection="1">
      <x:protection locked="1" hidden="0"/>
    </x:xf>
    <x:xf numFmtId="0" fontId="35" fillId="0" borderId="27" applyNumberFormat="1" applyFill="1" applyBorder="1" applyAlignment="1" applyProtection="1">
      <x:protection locked="1" hidden="0"/>
    </x:xf>
    <x:xf numFmtId="0" fontId="38" fillId="2" borderId="46" applyNumberFormat="1" applyFill="0" applyBorder="1" applyAlignment="1" applyProtection="1">
      <x:protection locked="1" hidden="0"/>
    </x:xf>
    <x:xf numFmtId="0" fontId="38" fillId="2" borderId="25" applyNumberFormat="1" applyFill="0" applyBorder="1" applyAlignment="1" applyProtection="1">
      <x:protection locked="1" hidden="0"/>
    </x:xf>
    <x:xf numFmtId="0" fontId="38" fillId="2" borderId="21" applyNumberFormat="1" applyFill="0" applyBorder="1" applyAlignment="1" applyProtection="1">
      <x:protection locked="1" hidden="0"/>
    </x:xf>
    <x:xf numFmtId="0" fontId="35" fillId="0" borderId="47" applyNumberFormat="1" applyFill="1" applyBorder="1" applyAlignment="1" applyProtection="1">
      <x:protection locked="1" hidden="0"/>
    </x:xf>
    <x:xf numFmtId="1" fontId="35" fillId="0" borderId="0" applyNumberFormat="1" applyFill="1" applyBorder="0" applyAlignment="1" applyProtection="1">
      <x:protection locked="1" hidden="0"/>
    </x:xf>
    <x:xf numFmtId="0" fontId="37" fillId="3" borderId="16" applyNumberFormat="1" applyFill="0" applyBorder="1" applyAlignment="1" applyProtection="1">
      <x:protection locked="1" hidden="0"/>
    </x:xf>
    <x:xf numFmtId="165" fontId="35" fillId="3" borderId="2" applyNumberFormat="1" applyFill="0" applyBorder="1" applyAlignment="1" applyProtection="1">
      <x:protection locked="1" hidden="0"/>
    </x:xf>
    <x:xf numFmtId="165" fontId="35" fillId="19" borderId="2" applyNumberFormat="1" applyFill="0" applyBorder="1" applyAlignment="1" applyProtection="1">
      <x:protection locked="1" hidden="0"/>
    </x:xf>
    <x:xf numFmtId="165" fontId="35" fillId="19" borderId="1" applyNumberFormat="1" applyFill="0" applyBorder="1" applyAlignment="1" applyProtection="1">
      <x:protection locked="1" hidden="0"/>
    </x:xf>
    <x:xf numFmtId="165" fontId="37" fillId="3" borderId="15" applyNumberFormat="1" applyFill="0" applyBorder="1" applyAlignment="1" applyProtection="1">
      <x:protection locked="1" hidden="0"/>
    </x:xf>
    <x:xf numFmtId="165" fontId="35" fillId="0" borderId="32" applyNumberFormat="1" applyFill="1" applyBorder="1" applyAlignment="1" applyProtection="1">
      <x:protection locked="1" hidden="0"/>
    </x:xf>
    <x:xf numFmtId="165" fontId="35" fillId="0" borderId="11" applyNumberFormat="1" applyFill="1" applyBorder="1" applyAlignment="1" applyProtection="1">
      <x:protection locked="1" hidden="0"/>
    </x:xf>
    <x:xf numFmtId="165" fontId="37" fillId="4" borderId="16" applyNumberFormat="1" applyFill="0" applyBorder="1" applyAlignment="1" applyProtection="1">
      <x:protection locked="1" hidden="0"/>
    </x:xf>
    <x:xf numFmtId="165" fontId="35" fillId="4" borderId="2" applyNumberFormat="1" applyFill="0" applyBorder="1" applyAlignment="1" applyProtection="1">
      <x:protection locked="1" hidden="0"/>
    </x:xf>
    <x:xf numFmtId="2" fontId="35" fillId="20" borderId="2" applyNumberFormat="1" applyFill="0" applyBorder="1" applyAlignment="1" applyProtection="1">
      <x:protection locked="1" hidden="0"/>
    </x:xf>
    <x:xf numFmtId="2" fontId="35" fillId="20" borderId="1" applyNumberFormat="1" applyFill="0" applyBorder="1" applyAlignment="1" applyProtection="1">
      <x:protection locked="1" hidden="0"/>
    </x:xf>
    <x:xf numFmtId="44" fontId="37" fillId="4" borderId="15" applyNumberFormat="1" applyFill="0" applyBorder="1" applyAlignment="1" applyProtection="1">
      <x:protection locked="1" hidden="0"/>
    </x:xf>
    <x:xf numFmtId="0" fontId="35" fillId="0" borderId="32" applyNumberFormat="1" applyFill="1" applyBorder="1" applyAlignment="1" applyProtection="1">
      <x:protection locked="1" hidden="0"/>
    </x:xf>
    <x:xf numFmtId="165" fontId="35" fillId="20" borderId="2" applyNumberFormat="1" applyFill="0" applyBorder="1" applyAlignment="1" applyProtection="1">
      <x:protection locked="1" hidden="0"/>
    </x:xf>
    <x:xf numFmtId="165" fontId="38" fillId="2" borderId="2" applyNumberFormat="1" applyFill="0" applyBorder="1" applyAlignment="1" applyProtection="1">
      <x:protection locked="1" hidden="0"/>
    </x:xf>
    <x:xf numFmtId="165" fontId="35" fillId="0" borderId="51" applyNumberFormat="1" applyFill="1" applyBorder="1" applyAlignment="1" applyProtection="1">
      <x:protection locked="1" hidden="0"/>
    </x:xf>
    <x:xf numFmtId="165" fontId="38" fillId="2" borderId="45" applyNumberFormat="1" applyFill="0" applyBorder="1" applyAlignment="1" applyProtection="1">
      <x:protection locked="1" hidden="0"/>
    </x:xf>
    <x:xf numFmtId="165" fontId="38" fillId="2" borderId="3" applyNumberFormat="1" applyFill="0" applyBorder="1" applyAlignment="1" applyProtection="1">
      <x:protection locked="1" hidden="0"/>
    </x:xf>
    <x:xf numFmtId="1" fontId="38" fillId="2" borderId="3" applyNumberFormat="1" applyFill="0" applyBorder="1" applyAlignment="1" applyProtection="1">
      <x:protection locked="1" hidden="0"/>
    </x:xf>
    <x:xf numFmtId="44" fontId="38" fillId="2" borderId="20" applyNumberFormat="1" applyFill="0" applyBorder="1" applyAlignment="1" applyProtection="1">
      <x:protection locked="1" hidden="0"/>
    </x:xf>
    <x:xf numFmtId="0" fontId="35" fillId="0" borderId="48" applyNumberFormat="1" applyFill="1" applyBorder="1" applyAlignment="1" applyProtection="1">
      <x:protection locked="1" hidden="0"/>
    </x:xf>
    <x:xf numFmtId="0" fontId="48" fillId="3" borderId="16" applyNumberFormat="1" applyFill="0" applyBorder="1" applyAlignment="1" applyProtection="1">
      <x:protection locked="1" hidden="0"/>
    </x:xf>
    <x:xf numFmtId="165" fontId="35" fillId="0" borderId="56" applyNumberFormat="1" applyFill="1" applyBorder="1" applyAlignment="1" applyProtection="1">
      <x:protection locked="1" hidden="0"/>
    </x:xf>
    <x:xf numFmtId="165" fontId="48" fillId="4" borderId="31" applyNumberFormat="1" applyFill="0" applyBorder="1" applyAlignment="1" applyProtection="1">
      <x:protection locked="1" hidden="0"/>
    </x:xf>
    <x:xf numFmtId="165" fontId="35" fillId="0" borderId="28" applyNumberFormat="1" applyFill="1" applyBorder="1" applyAlignment="1" applyProtection="1">
      <x:protection locked="1" hidden="0"/>
    </x:xf>
    <x:xf numFmtId="165" fontId="38" fillId="2" borderId="15" applyNumberFormat="1" applyFill="0" applyBorder="1" applyAlignment="1" applyProtection="1">
      <x:protection locked="1" hidden="0"/>
    </x:xf>
    <x:xf numFmtId="165" fontId="38" fillId="2" borderId="46" applyNumberFormat="1" applyFill="0" applyBorder="1" applyAlignment="1" applyProtection="1">
      <x:protection locked="1" hidden="0"/>
    </x:xf>
    <x:xf numFmtId="165" fontId="35" fillId="13" borderId="2" applyNumberFormat="1" applyFill="0" applyBorder="1" applyAlignment="1" applyProtection="1">
      <x:protection locked="0" hidden="0"/>
    </x:xf>
    <x:xf numFmtId="1" fontId="35" fillId="13" borderId="2" applyNumberFormat="1" applyFill="0" applyBorder="1" applyAlignment="1" applyProtection="1">
      <x:protection locked="0" hidden="0"/>
    </x:xf>
    <x:xf numFmtId="44" fontId="37" fillId="28" borderId="15" applyNumberFormat="1" applyFill="0" applyBorder="1" applyAlignment="1" applyProtection="1">
      <x:protection locked="1" hidden="0"/>
    </x:xf>
    <x:xf numFmtId="0" fontId="38" fillId="2" borderId="45" applyNumberFormat="1" applyFill="0" applyBorder="1" applyAlignment="1" applyProtection="1">
      <x:protection locked="1" hidden="0"/>
    </x:xf>
    <x:xf numFmtId="44" fontId="38" fillId="2" borderId="15" applyNumberFormat="1" applyFill="0" applyBorder="1" applyAlignment="1" applyProtection="1">
      <x:protection locked="1" hidden="0"/>
    </x:xf>
    <x:xf numFmtId="165" fontId="35" fillId="13" borderId="0" applyNumberFormat="1" applyFill="0" applyBorder="0" applyAlignment="1" applyProtection="1">
      <x:protection locked="0" hidden="0"/>
    </x:xf>
    <x:xf numFmtId="165" fontId="37" fillId="3" borderId="2" applyNumberFormat="1" applyFill="0" applyBorder="1" applyAlignment="1" applyProtection="1">
      <x:protection locked="1" hidden="0"/>
    </x:xf>
    <x:xf numFmtId="165" fontId="49" fillId="2" borderId="18" applyNumberFormat="1" applyFill="0" applyBorder="1" applyAlignment="1" applyProtection="1">
      <x:protection locked="1" hidden="0"/>
    </x:xf>
    <x:xf numFmtId="165" fontId="35" fillId="0" borderId="35" applyNumberFormat="1" applyFill="1" applyBorder="1" applyAlignment="1" applyProtection="1">
      <x:protection locked="1" hidden="0"/>
    </x:xf>
    <x:xf numFmtId="165" fontId="35" fillId="0" borderId="55" applyNumberFormat="1" applyFill="1" applyBorder="1" applyAlignment="1" applyProtection="1">
      <x:protection locked="1" hidden="0"/>
    </x:xf>
    <x:xf numFmtId="165" fontId="35" fillId="4" borderId="31" applyNumberFormat="1" applyFill="0" applyBorder="1" applyAlignment="1" applyProtection="1">
      <x:protection locked="1" hidden="0"/>
    </x:xf>
    <x:xf numFmtId="165" fontId="35" fillId="0" borderId="4" applyNumberFormat="1" applyFill="1" applyBorder="1" applyAlignment="1" applyProtection="1">
      <x:protection locked="1" hidden="0"/>
    </x:xf>
    <x:xf numFmtId="165" fontId="35" fillId="0" borderId="6" applyNumberFormat="1" applyFill="1" applyBorder="1" applyAlignment="1" applyProtection="1">
      <x:protection locked="1" hidden="0"/>
    </x:xf>
    <x:xf numFmtId="0" fontId="49" fillId="2" borderId="48" applyNumberFormat="1" applyFill="0" applyBorder="1" applyAlignment="1" applyProtection="1">
      <x:protection locked="1" hidden="0"/>
    </x:xf>
    <x:xf numFmtId="0" fontId="35" fillId="3" borderId="57" applyNumberFormat="1" applyFill="0" applyBorder="1" applyAlignment="1" applyProtection="1">
      <x:protection locked="1" hidden="0"/>
    </x:xf>
    <x:xf numFmtId="165" fontId="35" fillId="0" borderId="49" applyNumberFormat="1" applyFill="1" applyBorder="1" applyAlignment="1" applyProtection="1">
      <x:protection locked="1" hidden="0"/>
    </x:xf>
    <x:xf numFmtId="165" fontId="35" fillId="0" borderId="27" applyNumberFormat="1" applyFill="1" applyBorder="1" applyAlignment="1" applyProtection="1">
      <x:protection locked="1" hidden="0"/>
    </x:xf>
    <x:xf numFmtId="165" fontId="50" fillId="3" borderId="34" applyNumberFormat="1" applyFill="0" applyBorder="1" applyAlignment="1" applyProtection="1">
      <x:protection locked="1" hidden="0"/>
    </x:xf>
    <x:xf numFmtId="165" fontId="35" fillId="0" borderId="0" applyNumberFormat="1" applyFill="1" applyBorder="0" applyAlignment="1" applyProtection="1">
      <x:protection locked="1" hidden="0"/>
    </x:xf>
    <x:xf numFmtId="165" fontId="35" fillId="0" borderId="12" applyNumberFormat="1" applyFill="1" applyBorder="1" applyAlignment="1" applyProtection="1">
      <x:protection locked="1" hidden="0"/>
    </x:xf>
    <x:xf numFmtId="44" fontId="50" fillId="4" borderId="31" applyNumberFormat="1" applyFill="0" applyBorder="1" applyAlignment="1" applyProtection="1">
      <x:protection locked="1" hidden="0"/>
    </x:xf>
    <x:xf numFmtId="165" fontId="35" fillId="0" borderId="8" applyNumberFormat="1" applyFill="1" applyBorder="1" applyAlignment="1" applyProtection="1">
      <x:protection locked="1" hidden="0"/>
    </x:xf>
    <x:xf numFmtId="165" fontId="35" fillId="0" borderId="10" applyNumberFormat="1" applyFill="1" applyBorder="1" applyAlignment="1" applyProtection="1">
      <x:protection locked="1" hidden="0"/>
    </x:xf>
    <x:xf numFmtId="165" fontId="35" fillId="0" borderId="9" applyNumberFormat="1" applyFill="1" applyBorder="1" applyAlignment="1" applyProtection="1">
      <x:protection locked="1" hidden="0"/>
    </x:xf>
    <x:xf numFmtId="0" fontId="48" fillId="5" borderId="22" applyNumberFormat="1" applyFill="0" applyBorder="1" applyAlignment="1" applyProtection="1">
      <x:protection locked="1" hidden="0"/>
    </x:xf>
    <x:xf numFmtId="165" fontId="35" fillId="0" borderId="53" applyNumberFormat="1" applyFill="1" applyBorder="1" applyAlignment="1" applyProtection="1">
      <x:protection locked="1" hidden="0"/>
    </x:xf>
    <x:xf numFmtId="165" fontId="35" fillId="0" borderId="54" applyNumberFormat="1" applyFill="1" applyBorder="1" applyAlignment="1" applyProtection="1">
      <x:protection locked="1" hidden="0"/>
    </x:xf>
    <x:xf numFmtId="165" fontId="48" fillId="6" borderId="31" applyNumberFormat="1" applyFill="0" applyBorder="1" applyAlignment="1" applyProtection="1">
      <x:protection locked="1" hidden="0"/>
    </x:xf>
    <x:xf numFmtId="165" fontId="38" fillId="2" borderId="17" applyNumberFormat="1" applyFill="0" applyBorder="1" applyAlignment="1" applyProtection="1">
      <x:protection locked="1" hidden="0"/>
    </x:xf>
    <x:xf numFmtId="165" fontId="38" fillId="2" borderId="25" applyNumberFormat="1" applyFill="0" applyBorder="1" applyAlignment="1" applyProtection="1">
      <x:protection locked="1" hidden="0"/>
    </x:xf>
    <x:xf numFmtId="0" fontId="38" fillId="2" borderId="58" applyNumberFormat="1" applyFill="0" applyBorder="1" applyAlignment="1" applyProtection="1">
      <x:protection locked="1" hidden="0"/>
    </x:xf>
    <x:xf numFmtId="0" fontId="37" fillId="5" borderId="16" applyNumberFormat="1" applyFill="0" applyBorder="1" applyAlignment="1" applyProtection="1">
      <x:protection locked="1" hidden="0"/>
    </x:xf>
    <x:xf numFmtId="165" fontId="35" fillId="5" borderId="2" applyNumberFormat="1" applyFill="0" applyBorder="1" applyAlignment="1" applyProtection="1">
      <x:protection locked="1" hidden="0"/>
    </x:xf>
    <x:xf numFmtId="165" fontId="35" fillId="21" borderId="2" applyNumberFormat="1" applyFill="0" applyBorder="1" applyAlignment="1" applyProtection="1">
      <x:protection locked="1" hidden="0"/>
    </x:xf>
    <x:xf numFmtId="165" fontId="35" fillId="21" borderId="1" applyNumberFormat="1" applyFill="0" applyBorder="1" applyAlignment="1" applyProtection="1">
      <x:protection locked="1" hidden="0"/>
    </x:xf>
    <x:xf numFmtId="165" fontId="37" fillId="5" borderId="15" applyNumberFormat="1" applyFill="0" applyBorder="1" applyAlignment="1" applyProtection="1">
      <x:protection locked="1" hidden="0"/>
    </x:xf>
    <x:xf numFmtId="165" fontId="37" fillId="6" borderId="16" applyNumberFormat="1" applyFill="0" applyBorder="1" applyAlignment="1" applyProtection="1">
      <x:protection locked="1" hidden="0"/>
    </x:xf>
    <x:xf numFmtId="165" fontId="35" fillId="6" borderId="2" applyNumberFormat="1" applyFill="0" applyBorder="1" applyAlignment="1" applyProtection="1">
      <x:protection locked="1" hidden="0"/>
    </x:xf>
    <x:xf numFmtId="2" fontId="35" fillId="22" borderId="2" applyNumberFormat="1" applyFill="0" applyBorder="1" applyAlignment="1" applyProtection="1">
      <x:protection locked="1" hidden="0"/>
    </x:xf>
    <x:xf numFmtId="2" fontId="35" fillId="22" borderId="1" applyNumberFormat="1" applyFill="0" applyBorder="1" applyAlignment="1" applyProtection="1">
      <x:protection locked="1" hidden="0"/>
    </x:xf>
    <x:xf numFmtId="44" fontId="37" fillId="6" borderId="2" applyNumberFormat="1" applyFill="0" applyBorder="1" applyAlignment="1" applyProtection="1">
      <x:protection locked="1" hidden="0"/>
    </x:xf>
    <x:xf numFmtId="165" fontId="35" fillId="22" borderId="2" applyNumberFormat="1" applyFill="0" applyBorder="1" applyAlignment="1" applyProtection="1">
      <x:protection locked="1" hidden="0"/>
    </x:xf>
    <x:xf numFmtId="44" fontId="38" fillId="2" borderId="19" applyNumberFormat="1" applyFill="0" applyBorder="1" applyAlignment="1" applyProtection="1">
      <x:protection locked="1" hidden="0"/>
    </x:xf>
    <x:xf numFmtId="0" fontId="48" fillId="5" borderId="16" applyNumberFormat="1" applyFill="0" applyBorder="1" applyAlignment="1" applyProtection="1">
      <x:protection locked="1" hidden="0"/>
    </x:xf>
    <x:xf numFmtId="165" fontId="48" fillId="6" borderId="29" applyNumberFormat="1" applyFill="0" applyBorder="1" applyAlignment="1" applyProtection="1">
      <x:protection locked="1" hidden="0"/>
    </x:xf>
    <x:xf numFmtId="0" fontId="35" fillId="0" borderId="59" applyNumberFormat="1" applyFill="1" applyBorder="1" applyAlignment="1" applyProtection="1">
      <x:protection locked="1" hidden="0"/>
    </x:xf>
    <x:xf numFmtId="0" fontId="38" fillId="2" borderId="15" applyNumberFormat="1" applyFill="0" applyBorder="1" applyAlignment="1" applyProtection="1">
      <x:protection locked="1" hidden="0"/>
    </x:xf>
    <x:xf numFmtId="44" fontId="37" fillId="12" borderId="15" applyNumberFormat="1" applyFill="0" applyBorder="1" applyAlignment="1" applyProtection="1">
      <x:protection locked="1" hidden="0"/>
    </x:xf>
    <x:xf numFmtId="0" fontId="35" fillId="5" borderId="31" applyNumberFormat="1" applyFill="0" applyBorder="1" applyAlignment="1" applyProtection="1">
      <x:protection locked="1" hidden="0"/>
    </x:xf>
    <x:xf numFmtId="165" fontId="49" fillId="2" borderId="36" applyNumberFormat="1" applyFill="0" applyBorder="1" applyAlignment="1" applyProtection="1">
      <x:protection locked="1" hidden="0"/>
    </x:xf>
    <x:xf numFmtId="165" fontId="35" fillId="0" borderId="36" applyNumberFormat="1" applyFill="1" applyBorder="1" applyAlignment="1" applyProtection="1">
      <x:protection locked="1" hidden="0"/>
    </x:xf>
    <x:xf numFmtId="165" fontId="35" fillId="6" borderId="31" applyNumberFormat="1" applyFill="0" applyBorder="1" applyAlignment="1" applyProtection="1">
      <x:protection locked="1" hidden="0"/>
    </x:xf>
    <x:xf numFmtId="0" fontId="49" fillId="2" borderId="36" applyNumberFormat="1" applyFill="0" applyBorder="1" applyAlignment="1" applyProtection="1">
      <x:protection locked="1" hidden="0"/>
    </x:xf>
    <x:xf numFmtId="0" fontId="35" fillId="0" borderId="49" applyNumberFormat="1" applyFill="1" applyBorder="1" applyAlignment="1" applyProtection="1">
      <x:protection locked="1" hidden="0"/>
    </x:xf>
    <x:xf numFmtId="0" fontId="35" fillId="0" borderId="36" applyNumberFormat="1" applyFill="1" applyBorder="1" applyAlignment="1" applyProtection="1">
      <x:protection locked="1" hidden="0"/>
    </x:xf>
    <x:xf numFmtId="165" fontId="50" fillId="5" borderId="34" applyNumberFormat="1" applyFill="0" applyBorder="1" applyAlignment="1" applyProtection="1">
      <x:protection locked="1" hidden="0"/>
    </x:xf>
    <x:xf numFmtId="44" fontId="50" fillId="6" borderId="34" applyNumberFormat="1" applyFill="0" applyBorder="1" applyAlignment="1" applyProtection="1">
      <x:protection locked="1" hidden="0"/>
    </x:xf>
    <x:xf numFmtId="0" fontId="48" fillId="7" borderId="22" applyNumberFormat="1" applyFill="0" applyBorder="1" applyAlignment="1" applyProtection="1">
      <x:protection locked="1" hidden="0"/>
    </x:xf>
    <x:xf numFmtId="0" fontId="37" fillId="7" borderId="16" applyNumberFormat="1" applyFill="0" applyBorder="1" applyAlignment="1" applyProtection="1">
      <x:protection locked="1" hidden="0"/>
    </x:xf>
    <x:xf numFmtId="165" fontId="35" fillId="7" borderId="2" applyNumberFormat="1" applyFill="0" applyBorder="1" applyAlignment="1" applyProtection="1">
      <x:protection locked="1" hidden="0"/>
    </x:xf>
    <x:xf numFmtId="165" fontId="35" fillId="23" borderId="2" applyNumberFormat="1" applyFill="0" applyBorder="1" applyAlignment="1" applyProtection="1">
      <x:protection locked="1" hidden="0"/>
    </x:xf>
    <x:xf numFmtId="165" fontId="35" fillId="23" borderId="1" applyNumberFormat="1" applyFill="0" applyBorder="1" applyAlignment="1" applyProtection="1">
      <x:protection locked="1" hidden="0"/>
    </x:xf>
    <x:xf numFmtId="165" fontId="37" fillId="7" borderId="2" applyNumberFormat="1" applyFill="0" applyBorder="1" applyAlignment="1" applyProtection="1">
      <x:protection locked="1" hidden="0"/>
    </x:xf>
    <x:xf numFmtId="165" fontId="37" fillId="7" borderId="15" applyNumberFormat="1" applyFill="0" applyBorder="1" applyAlignment="1" applyProtection="1">
      <x:protection locked="1" hidden="0"/>
    </x:xf>
    <x:xf numFmtId="0" fontId="48" fillId="7" borderId="16" applyNumberFormat="1" applyFill="0" applyBorder="1" applyAlignment="1" applyProtection="1">
      <x:protection locked="1" hidden="0"/>
    </x:xf>
    <x:xf numFmtId="0" fontId="35" fillId="0" borderId="56" applyNumberFormat="1" applyFill="1" applyBorder="1" applyAlignment="1" applyProtection="1">
      <x:protection locked="1" hidden="0"/>
    </x:xf>
    <x:xf numFmtId="44" fontId="37" fillId="7" borderId="15" applyNumberFormat="1" applyFill="0" applyBorder="1" applyAlignment="1" applyProtection="1">
      <x:protection locked="1" hidden="0"/>
    </x:xf>
    <x:xf numFmtId="0" fontId="35" fillId="7" borderId="31" applyNumberFormat="1" applyFill="0" applyBorder="1" applyAlignment="1" applyProtection="1">
      <x:protection locked="1" hidden="0"/>
    </x:xf>
    <x:xf numFmtId="44" fontId="50" fillId="7" borderId="34" applyNumberFormat="1" applyFill="0" applyBorder="1" applyAlignment="1" applyProtection="1">
      <x:protection locked="1" hidden="0"/>
    </x:xf>
    <x:xf numFmtId="0" fontId="35" fillId="0" borderId="0" applyNumberFormat="1" applyFill="1" applyBorder="0" applyAlignment="1" applyProtection="1">
      <x:protection locked="1" hidden="1"/>
    </x:xf>
    <x:xf numFmtId="0" fontId="51" fillId="0" borderId="0" applyNumberFormat="1" applyFill="1" applyBorder="0" applyAlignment="1" applyProtection="1">
      <x:protection locked="1" hidden="1"/>
    </x:xf>
    <x:xf numFmtId="2" fontId="35" fillId="0" borderId="0" applyNumberFormat="1" applyFill="1" applyBorder="0" applyAlignment="1" applyProtection="1">
      <x:protection locked="1" hidden="1"/>
    </x:xf>
    <x:xf numFmtId="0" fontId="37" fillId="0" borderId="0" applyNumberFormat="1" applyFill="1" applyBorder="0" applyAlignment="1" applyProtection="1">
      <x:protection locked="1" hidden="1"/>
    </x:xf>
    <x:xf numFmtId="0" fontId="37" fillId="0" borderId="29" applyNumberFormat="1" applyFill="1" applyBorder="1" applyAlignment="1" applyProtection="1">
      <x:protection locked="1" hidden="1"/>
    </x:xf>
    <x:xf numFmtId="0" fontId="35" fillId="0" borderId="28" applyNumberFormat="1" applyFill="1" applyBorder="1" applyAlignment="1" applyProtection="1">
      <x:protection locked="1" hidden="1"/>
    </x:xf>
    <x:xf numFmtId="0" fontId="35" fillId="0" borderId="59" applyNumberFormat="1" applyFill="1" applyBorder="1" applyAlignment="1" applyProtection="1">
      <x:protection locked="1" hidden="1"/>
    </x:xf>
    <x:xf numFmtId="0" fontId="37" fillId="0" borderId="33" applyNumberFormat="1" applyFill="1" applyBorder="1" applyAlignment="1" applyProtection="1">
      <x:protection locked="1" hidden="1"/>
    </x:xf>
    <x:xf numFmtId="0" fontId="37" fillId="0" borderId="31" applyNumberFormat="1" applyFill="1" applyBorder="1" applyAlignment="1" applyProtection="1">
      <x:protection locked="1" hidden="1"/>
    </x:xf>
    <x:xf numFmtId="0" fontId="37" fillId="0" borderId="46" applyNumberFormat="1" applyFill="1" applyBorder="1" applyAlignment="1" applyProtection="1">
      <x:protection locked="1" hidden="1"/>
    </x:xf>
    <x:xf numFmtId="165" fontId="35" fillId="0" borderId="25" applyNumberFormat="1" applyFill="1" applyBorder="1" applyAlignment="1" applyProtection="1">
      <x:protection locked="1" hidden="1"/>
    </x:xf>
    <x:xf numFmtId="165" fontId="35" fillId="0" borderId="30" applyNumberFormat="1" applyFill="1" applyBorder="1" applyAlignment="1" applyProtection="1">
      <x:protection locked="1" hidden="1"/>
    </x:xf>
    <x:xf numFmtId="44" fontId="35" fillId="0" borderId="30" applyNumberFormat="1" applyFill="1" applyBorder="1" applyAlignment="1" applyProtection="1">
      <x:protection locked="1" hidden="1"/>
    </x:xf>
    <x:xf numFmtId="44" fontId="35" fillId="0" borderId="26" applyNumberFormat="1" applyFill="1" applyBorder="1" applyAlignment="1" applyProtection="1">
      <x:protection locked="1" hidden="1"/>
    </x:xf>
    <x:xf numFmtId="0" fontId="37" fillId="0" borderId="16" applyNumberFormat="1" applyFill="1" applyBorder="1" applyAlignment="1" applyProtection="1">
      <x:protection locked="1" hidden="1"/>
    </x:xf>
    <x:xf numFmtId="165" fontId="35" fillId="0" borderId="2" applyNumberFormat="1" applyFill="1" applyBorder="1" applyAlignment="1" applyProtection="1">
      <x:protection locked="1" hidden="1"/>
    </x:xf>
    <x:xf numFmtId="165" fontId="35" fillId="0" borderId="1" applyNumberFormat="1" applyFill="1" applyBorder="1" applyAlignment="1" applyProtection="1">
      <x:protection locked="1" hidden="1"/>
    </x:xf>
    <x:xf numFmtId="44" fontId="35" fillId="0" borderId="1" applyNumberFormat="1" applyFill="1" applyBorder="1" applyAlignment="1" applyProtection="1">
      <x:protection locked="1" hidden="1"/>
    </x:xf>
    <x:xf numFmtId="44" fontId="35" fillId="0" borderId="15" applyNumberFormat="1" applyFill="1" applyBorder="1" applyAlignment="1" applyProtection="1">
      <x:protection locked="1" hidden="1"/>
    </x:xf>
    <x:xf numFmtId="165" fontId="35" fillId="18" borderId="1" applyNumberFormat="1" applyFill="0" applyBorder="1" applyAlignment="1" applyProtection="1">
      <x:protection locked="1" hidden="1"/>
    </x:xf>
    <x:xf numFmtId="0" fontId="37" fillId="0" borderId="18" applyNumberFormat="1" applyFill="1" applyBorder="1" applyAlignment="1" applyProtection="1">
      <x:protection locked="1" hidden="1"/>
    </x:xf>
    <x:xf numFmtId="165" fontId="35" fillId="0" borderId="3" applyNumberFormat="1" applyFill="1" applyBorder="1" applyAlignment="1" applyProtection="1">
      <x:protection locked="1" hidden="1"/>
    </x:xf>
    <x:xf numFmtId="165" fontId="35" fillId="18" borderId="24" applyNumberFormat="1" applyFill="0" applyBorder="1" applyAlignment="1" applyProtection="1">
      <x:protection locked="1" hidden="1"/>
    </x:xf>
    <x:xf numFmtId="44" fontId="35" fillId="0" borderId="24" applyNumberFormat="1" applyFill="1" applyBorder="1" applyAlignment="1" applyProtection="1">
      <x:protection locked="1" hidden="1"/>
    </x:xf>
    <x:xf numFmtId="44" fontId="35" fillId="0" borderId="17" applyNumberFormat="1" applyFill="1" applyBorder="1" applyAlignment="1" applyProtection="1">
      <x:protection locked="1" hidden="1"/>
    </x:xf>
    <x:xf numFmtId="165" fontId="37" fillId="0" borderId="31" applyNumberFormat="1" applyFill="1" applyBorder="1" applyAlignment="1" applyProtection="1">
      <x:protection locked="1" hidden="1"/>
    </x:xf>
    <x:xf numFmtId="44" fontId="37" fillId="0" borderId="31" applyNumberFormat="1" applyFill="1" applyBorder="1" applyAlignment="1" applyProtection="1">
      <x:protection locked="1" hidden="1"/>
    </x:xf>
    <x:xf numFmtId="2" fontId="37" fillId="0" borderId="0" applyNumberFormat="1" applyFill="1" applyBorder="0" applyAlignment="1" applyProtection="1">
      <x:protection locked="1" hidden="1"/>
    </x:xf>
    <x:xf numFmtId="165" fontId="37" fillId="0" borderId="0" applyNumberFormat="1" applyFill="1" applyBorder="0" applyAlignment="1" applyProtection="1">
      <x:protection locked="1" hidden="1"/>
    </x:xf>
    <x:xf numFmtId="44" fontId="37" fillId="0" borderId="0" applyNumberFormat="1" applyFill="1" applyBorder="0" applyAlignment="1" applyProtection="1">
      <x:protection locked="1" hidden="1"/>
    </x:xf>
    <x:xf numFmtId="165" fontId="35" fillId="0" borderId="0" applyNumberFormat="1" applyFill="1" applyBorder="0" applyAlignment="1" applyProtection="1">
      <x:protection locked="1" hidden="1"/>
    </x:xf>
    <x:xf numFmtId="0" fontId="37" fillId="0" borderId="34" applyNumberFormat="1" applyFill="1" applyBorder="1" applyAlignment="1" applyProtection="1">
      <x:protection locked="1" hidden="1"/>
    </x:xf>
    <x:xf numFmtId="2" fontId="37" fillId="0" borderId="22" applyNumberFormat="1" applyFill="1" applyBorder="1" applyAlignment="1" applyProtection="1">
      <x:protection locked="1" hidden="1"/>
    </x:xf>
    <x:xf numFmtId="44" fontId="35" fillId="0" borderId="21" applyNumberFormat="1" applyFill="1" applyBorder="1" applyAlignment="1" applyProtection="1">
      <x:protection locked="1" hidden="1"/>
    </x:xf>
    <x:xf numFmtId="2" fontId="37" fillId="0" borderId="16" applyNumberFormat="1" applyFill="1" applyBorder="1" applyAlignment="1" applyProtection="1">
      <x:protection locked="1" hidden="1"/>
    </x:xf>
    <x:xf numFmtId="2" fontId="37" fillId="0" borderId="45" applyNumberFormat="1" applyFill="1" applyBorder="1" applyAlignment="1" applyProtection="1">
      <x:protection locked="1" hidden="1"/>
    </x:xf>
    <x:xf numFmtId="0" fontId="48" fillId="0" borderId="31" applyNumberFormat="1" applyFill="1" applyBorder="1" applyAlignment="1" applyProtection="1">
      <x:protection locked="1" hidden="1"/>
    </x:xf>
    <x:xf numFmtId="165" fontId="48" fillId="0" borderId="31" applyNumberFormat="1" applyFill="1" applyBorder="1" applyAlignment="1" applyProtection="1">
      <x:protection locked="1" hidden="1"/>
    </x:xf>
    <x:xf numFmtId="44" fontId="48" fillId="0" borderId="31" applyNumberFormat="1" applyFill="1" applyBorder="1" applyAlignment="1" applyProtection="1">
      <x:protection locked="1" hidden="1"/>
    </x:xf>
    <x:xf numFmtId="2" fontId="48" fillId="0" borderId="31" applyNumberFormat="1" applyFill="1" applyBorder="1" applyAlignment="1" applyProtection="1">
      <x:protection locked="1" hidden="1"/>
    </x:xf>
    <x:xf numFmtId="0" fontId="35" fillId="0" borderId="34" applyNumberFormat="1" applyFill="1" applyBorder="1" applyAlignment="1" applyProtection="1">
      <x:protection locked="1" hidden="1"/>
    </x:xf>
    <x:xf numFmtId="44" fontId="35" fillId="0" borderId="0" applyNumberFormat="1" applyFill="1" applyBorder="0" applyAlignment="1" applyProtection="1">
      <x:protection locked="1" hidden="1"/>
    </x:xf>
    <x:xf numFmtId="44" fontId="48" fillId="0" borderId="0" applyNumberFormat="1" applyFill="1" applyBorder="0" applyAlignment="1" applyProtection="1">
      <x:protection locked="1" hidden="1"/>
    </x:xf>
    <x:xf numFmtId="0" fontId="52" fillId="0" borderId="0" applyNumberFormat="1" applyFill="1" applyBorder="0" applyAlignment="1" applyProtection="1">
      <x:protection locked="1" hidden="0"/>
    </x:xf>
    <x:xf numFmtId="0" fontId="38" fillId="10" borderId="0" applyNumberFormat="1" applyFill="0" applyBorder="0" applyAlignment="1" applyProtection="1">
      <x:protection locked="1" hidden="0"/>
    </x:xf>
    <x:xf numFmtId="0" fontId="35" fillId="12" borderId="0" applyNumberFormat="1" applyFill="0" applyBorder="0" applyAlignment="1" applyProtection="1">
      <x:protection locked="1" hidden="0"/>
    </x:xf>
    <x:xf numFmtId="0" fontId="45" fillId="12" borderId="0" applyNumberFormat="1" applyFill="0" applyBorder="0" applyAlignment="1" applyProtection="1">
      <x:protection locked="1" hidden="0"/>
    </x:xf>
    <x:xf numFmtId="0" fontId="45" fillId="11" borderId="0" applyNumberFormat="1" applyFill="0" applyBorder="0" applyAlignment="1" applyProtection="1">
      <x:protection locked="1" hidden="0"/>
    </x:xf>
    <x:xf numFmtId="44" fontId="42" fillId="0" borderId="0" applyNumberFormat="1" applyFill="1" applyBorder="0" applyAlignment="1" applyProtection="1">
      <x:protection locked="1" hidden="1"/>
    </x:xf>
    <x:xf numFmtId="1" fontId="35" fillId="0" borderId="0" applyNumberFormat="1" applyFill="1" applyBorder="0" applyAlignment="1" applyProtection="1">
      <x:protection locked="1" hidden="1"/>
    </x:xf>
    <x:xf numFmtId="0" fontId="53" fillId="0" borderId="0" applyNumberFormat="1" applyFill="1" applyBorder="0" applyAlignment="1" applyProtection="1">
      <x:protection locked="1" hidden="0"/>
    </x:xf>
    <x:xf numFmtId="1" fontId="35" fillId="12" borderId="0" applyNumberFormat="1" applyFill="0" applyBorder="0" applyAlignment="1" applyProtection="1">
      <x:protection locked="1" hidden="0"/>
    </x:xf>
    <x:xf numFmtId="0" fontId="46" fillId="12" borderId="0" applyNumberFormat="1" applyFill="0" applyBorder="0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165" fontId="45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165" fontId="54" fillId="0" borderId="0" applyNumberFormat="1" applyFill="1" applyBorder="0" applyAlignment="1" applyProtection="1">
      <x:protection locked="1" hidden="0"/>
    </x:xf>
    <x:xf numFmtId="0" fontId="54" fillId="3" borderId="0" applyNumberFormat="1" applyFill="0" applyBorder="0" applyAlignment="1" applyProtection="1">
      <x:protection locked="1" hidden="0"/>
    </x:xf>
    <x:xf numFmtId="165" fontId="45" fillId="17" borderId="0" applyNumberFormat="1" applyFill="0" applyBorder="0" applyAlignment="1" applyProtection="1">
      <x:protection locked="1" hidden="0"/>
    </x:xf>
    <x:xf numFmtId="0" fontId="45" fillId="17" borderId="0" applyNumberFormat="1" applyFill="0" applyBorder="0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56" fillId="0" borderId="0" applyNumberFormat="1" applyFill="1" applyBorder="0" applyAlignment="1" applyProtection="1">
      <x:protection locked="1" hidden="0"/>
    </x:xf>
    <x:xf numFmtId="0" fontId="45" fillId="0" borderId="0" applyNumberFormat="1" applyFill="1" applyBorder="0" applyAlignment="1" applyProtection="1">
      <x:protection locked="0" hidden="0"/>
    </x:xf>
    <x:xf numFmtId="165" fontId="45" fillId="0" borderId="0" applyNumberFormat="1" applyFill="1" applyBorder="0" applyAlignment="1" applyProtection="1">
      <x:protection locked="0" hidden="0"/>
    </x:xf>
    <x:xf numFmtId="0" fontId="45" fillId="0" borderId="2" applyNumberFormat="1" applyFill="1" applyBorder="1" applyAlignment="1" applyProtection="1">
      <x:protection locked="0" hidden="0"/>
    </x:xf>
    <x:xf numFmtId="0" fontId="56" fillId="0" borderId="0" applyNumberFormat="1" applyFill="1" applyBorder="0" applyAlignment="1" applyProtection="1">
      <x:protection locked="0" hidden="0"/>
    </x:xf>
    <x:xf numFmtId="0" fontId="45" fillId="0" borderId="50" applyNumberFormat="1" applyFill="1" applyBorder="1" applyAlignment="1" applyProtection="1">
      <x:protection locked="0" hidden="0"/>
    </x:xf>
    <x:xf numFmtId="0" fontId="45" fillId="0" borderId="25" applyNumberFormat="1" applyFill="1" applyBorder="1" applyAlignment="1" applyProtection="1">
      <x:protection locked="0" hidden="0"/>
    </x:xf>
    <x:xf numFmtId="2" fontId="54" fillId="0" borderId="0" applyNumberFormat="1" applyFill="1" applyBorder="0" applyAlignment="1" applyProtection="1">
      <x:protection locked="1" hidden="0"/>
    </x:xf>
    <x:xf numFmtId="2" fontId="45" fillId="0" borderId="0" applyNumberFormat="1" applyFill="1" applyBorder="0" applyAlignment="1" applyProtection="1">
      <x:protection locked="1" hidden="0"/>
    </x:xf>
    <x:xf numFmtId="0" fontId="54" fillId="4" borderId="0" applyNumberFormat="1" applyFill="0" applyBorder="0" applyAlignment="1" applyProtection="1">
      <x:protection locked="1" hidden="0"/>
    </x:xf>
    <x:xf numFmtId="0" fontId="45" fillId="17" borderId="0" applyNumberFormat="1" applyFill="0" applyBorder="0" applyAlignment="1" applyProtection="1">
      <x:protection locked="0" hidden="0"/>
    </x:xf>
    <x:xf numFmtId="0" fontId="57" fillId="0" borderId="0" applyNumberFormat="1" applyFill="1" applyBorder="0" applyAlignment="1" applyProtection="1">
      <x:protection locked="0" hidden="0"/>
    </x:xf>
    <x:xf numFmtId="165" fontId="57" fillId="0" borderId="0" applyNumberFormat="1" applyFill="1" applyBorder="0" applyAlignment="1" applyProtection="1">
      <x:protection locked="0" hidden="0"/>
    </x:xf>
    <x:xf numFmtId="0" fontId="54" fillId="5" borderId="0" applyNumberFormat="1" applyFill="0" applyBorder="0" applyAlignment="1" applyProtection="1">
      <x:protection locked="1" hidden="0"/>
    </x:xf>
    <x:xf numFmtId="0" fontId="54" fillId="6" borderId="0" applyNumberFormat="1" applyFill="0" applyBorder="0" applyAlignment="1" applyProtection="1">
      <x:protection locked="1" hidden="0"/>
    </x:xf>
    <x:xf numFmtId="0" fontId="54" fillId="7" borderId="0" applyNumberFormat="1" applyFill="0" applyBorder="0" applyAlignment="1" applyProtection="1">
      <x:protection locked="1" hidden="0"/>
    </x:xf>
    <x:xf numFmtId="0" fontId="58" fillId="0" borderId="0" applyNumberFormat="1" applyFill="1" applyBorder="0" applyAlignment="1" applyProtection="1">
      <x:protection locked="1" hidden="0"/>
    </x:xf>
    <x:xf numFmtId="0" fontId="59" fillId="0" borderId="0" applyNumberFormat="1" applyFill="1" applyBorder="0" applyAlignment="1" applyProtection="1">
      <x:protection locked="1" hidden="0"/>
    </x:xf>
    <x:xf numFmtId="0" fontId="60" fillId="0" borderId="0" applyNumberFormat="1" applyFill="1" applyBorder="0" applyAlignment="1" applyProtection="1">
      <x:protection locked="1" hidden="0"/>
    </x:xf>
  </x:cellStyleXfs>
  <x:cellXfs count="755">
    <x:xf numFmtId="0" fontId="0" fillId="0" borderId="0" xfId="0"/>
    <x:xf numFmtId="0" fontId="4" fillId="0" borderId="0" xfId="0" applyFont="1" applyAlignment="1">
      <x:alignment horizontal="left" vertical="center" indent="8"/>
    </x:xf>
    <x:xf numFmtId="0" fontId="5" fillId="0" borderId="0" xfId="0" applyFont="1"/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horizontal="left" vertical="center" wrapText="1"/>
    </x:xf>
    <x:xf numFmtId="0" fontId="6" fillId="0" borderId="0" xfId="0" applyFont="1" applyAlignment="1">
      <x:alignment vertical="center" wrapText="1"/>
    </x:xf>
    <x:xf numFmtId="0" fontId="9" fillId="0" borderId="0" xfId="0" applyFont="1" applyAlignment="1">
      <x:alignment horizontal="left" vertical="center" wrapText="1"/>
    </x:xf>
    <x:xf numFmtId="0" fontId="10" fillId="0" borderId="0" xfId="0" applyFont="1" applyAlignment="1">
      <x:alignment wrapText="1"/>
    </x:xf>
    <x:xf numFmtId="0" fontId="0" fillId="0" borderId="0" xfId="0" applyProtection="1">
      <x:protection locked="0"/>
    </x:xf>
    <x:xf numFmtId="0" fontId="5" fillId="0" borderId="0" xfId="0" applyFont="1" applyAlignment="1">
      <x:alignment horizontal="right"/>
    </x:xf>
    <x:xf numFmtId="0" fontId="0" fillId="0" borderId="0" xfId="0" applyAlignment="1">
      <x:alignment horizontal="right"/>
    </x:xf>
    <x:xf numFmtId="2" fontId="0" fillId="0" borderId="0" xfId="0" applyNumberFormat="1"/>
    <x:xf numFmtId="2" fontId="0" fillId="0" borderId="0" xfId="0" applyNumberFormat="1" applyProtection="1">
      <x:protection locked="0"/>
    </x:xf>
    <x:xf numFmtId="49" fontId="0" fillId="0" borderId="0" xfId="0" applyNumberFormat="1"/>
    <x:xf numFmtId="44" fontId="0" fillId="0" borderId="0" xfId="0" applyNumberFormat="1" applyAlignment="1">
      <x:alignment horizontal="left"/>
    </x:xf>
    <x:xf numFmtId="0" fontId="0" fillId="0" borderId="0" xfId="0" applyAlignment="1">
      <x:alignment horizontal="left"/>
    </x:xf>
    <x:xf numFmtId="44" fontId="0" fillId="0" borderId="0" xfId="0" applyNumberFormat="1"/>
    <x:xf numFmtId="0" fontId="13" fillId="10" borderId="0" xfId="0" applyFont="1" applyFill="1"/>
    <x:xf numFmtId="0" fontId="0" fillId="12" borderId="0" xfId="0" applyFill="1"/>
    <x:xf numFmtId="1" fontId="0" fillId="0" borderId="0" xfId="0" applyNumberFormat="1"/>
    <x:xf numFmtId="0" fontId="16" fillId="0" borderId="0" xfId="0" applyFont="1" applyAlignment="1">
      <x:alignment horizontal="right" vertical="center" wrapText="1"/>
    </x:xf>
    <x:xf numFmtId="0" fontId="16" fillId="0" borderId="0" xfId="0" applyFont="1" applyAlignment="1">
      <x:alignment horizontal="right"/>
    </x:xf>
    <x:xf numFmtId="1" fontId="0" fillId="12" borderId="0" xfId="0" applyNumberFormat="1" applyFill="1"/>
    <x:xf numFmtId="0" fontId="0" fillId="0" borderId="0" xfId="0" applyAlignment="1">
      <x:alignment wrapText="1"/>
    </x:xf>
    <x:xf numFmtId="0" fontId="0" fillId="0" borderId="0" xfId="0" applyProtection="1">
      <x:protection hidden="1"/>
    </x:xf>
    <x:xf numFmtId="0" fontId="5" fillId="0" borderId="0" xfId="0" applyFont="1" applyAlignment="1">
      <x:alignment horizontal="center" vertical="center" wrapText="1"/>
    </x:xf>
    <x:xf numFmtId="0" fontId="18" fillId="0" borderId="0" xfId="0" applyFont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10" fillId="0" borderId="0" xfId="0" applyFont="1"/>
    <x:xf numFmtId="2" fontId="19" fillId="0" borderId="0" xfId="0" applyNumberFormat="1" applyFont="1" applyAlignment="1">
      <x:alignment horizontal="center" vertical="center" wrapText="1"/>
    </x:xf>
    <x:xf numFmtId="0" fontId="20" fillId="0" borderId="0" xfId="0" applyFont="1"/>
    <x:xf numFmtId="0" fontId="21" fillId="0" borderId="0" xfId="0" applyFont="1"/>
    <x:xf numFmtId="0" fontId="5" fillId="0" borderId="0" xfId="0" applyFont="1" applyAlignment="1">
      <x:alignment horizontal="right" vertical="center" wrapText="1"/>
    </x:xf>
    <x:xf numFmtId="2" fontId="5" fillId="0" borderId="0" xfId="0" applyNumberFormat="1" applyFont="1" applyAlignment="1">
      <x:alignment horizontal="center" vertical="center" wrapText="1"/>
    </x:xf>
    <x:xf numFmtId="2" fontId="0" fillId="6" borderId="2" xfId="0" applyNumberFormat="1" applyFill="1" applyBorder="1" applyAlignment="1">
      <x:alignment horizontal="center"/>
    </x:xf>
    <x:xf numFmtId="2" fontId="0" fillId="0" borderId="0" xfId="0" applyNumberFormat="1" applyAlignment="1">
      <x:alignment horizontal="center"/>
    </x:xf>
    <x:xf numFmtId="2" fontId="5" fillId="0" borderId="0" xfId="0" applyNumberFormat="1" applyFont="1"/>
    <x:xf numFmtId="0" fontId="5" fillId="0" borderId="0" xfId="0" applyFont="1" applyAlignment="1">
      <x:alignment horizontal="center"/>
    </x:xf>
    <x:xf numFmtId="0" fontId="13" fillId="0" borderId="0" xfId="0" applyFont="1" applyAlignment="1">
      <x:alignment horizontal="center"/>
    </x:xf>
    <x:xf numFmtId="2" fontId="0" fillId="0" borderId="0" xfId="0" applyNumberFormat="1" applyAlignment="1">
      <x:alignment horizontal="right"/>
    </x:xf>
    <x:xf numFmtId="2" fontId="0" fillId="0" borderId="0" xfId="0" applyNumberFormat="1" applyAlignment="1" applyProtection="1">
      <x:alignment horizontal="center"/>
      <x:protection hidden="1"/>
    </x:xf>
    <x:xf numFmtId="2" fontId="5" fillId="0" borderId="0" xfId="0" applyNumberFormat="1" applyFont="1" applyAlignment="1">
      <x:alignment horizontal="center"/>
    </x:xf>
    <x:xf numFmtId="1" fontId="13" fillId="2" borderId="2" xfId="0" applyNumberFormat="1" applyFont="1" applyFill="1" applyBorder="1" applyAlignment="1">
      <x:alignment horizontal="center"/>
    </x:xf>
    <x:xf numFmtId="2" fontId="0" fillId="4" borderId="2" xfId="0" applyNumberFormat="1" applyFill="1" applyBorder="1" applyAlignment="1">
      <x:alignment horizontal="center"/>
    </x:xf>
    <x:xf numFmtId="0" fontId="13" fillId="2" borderId="16" xfId="0" applyFont="1" applyFill="1" applyBorder="1" applyAlignment="1">
      <x:alignment horizontal="right"/>
    </x:xf>
    <x:xf numFmtId="0" fontId="3" fillId="0" borderId="0" xfId="0" applyFont="1" applyAlignment="1" applyProtection="1">
      <x:alignment horizontal="left" wrapText="1" indent="2"/>
      <x:protection locked="0"/>
    </x:xf>
    <x:xf numFmtId="0" fontId="0" fillId="0" borderId="0" xfId="0" applyAlignment="1" applyProtection="1">
      <x:alignment horizontal="left" wrapText="1" indent="2"/>
      <x:protection locked="0"/>
    </x:xf>
    <x:xf numFmtId="0" fontId="0" fillId="0" borderId="0" xfId="0" applyAlignment="1" applyProtection="1">
      <x:alignment horizontal="left"/>
      <x:protection locked="0"/>
    </x:xf>
    <x:xf numFmtId="2" fontId="0" fillId="5" borderId="2" xfId="0" applyNumberFormat="1" applyFill="1" applyBorder="1" applyAlignment="1">
      <x:alignment horizontal="center"/>
    </x:xf>
    <x:xf numFmtId="2" fontId="0" fillId="20" borderId="2" xfId="0" applyNumberFormat="1" applyFill="1" applyBorder="1" applyAlignment="1">
      <x:alignment horizontal="center"/>
    </x:xf>
    <x:xf numFmtId="2" fontId="0" fillId="21" borderId="2" xfId="0" applyNumberFormat="1" applyFill="1" applyBorder="1" applyAlignment="1">
      <x:alignment horizontal="center"/>
    </x:xf>
    <x:xf numFmtId="2" fontId="0" fillId="22" borderId="2" xfId="0" applyNumberFormat="1" applyFill="1" applyBorder="1" applyAlignment="1">
      <x:alignment horizontal="center"/>
    </x:xf>
    <x:xf numFmtId="2" fontId="0" fillId="7" borderId="2" xfId="0" applyNumberFormat="1" applyFill="1" applyBorder="1" applyAlignment="1">
      <x:alignment horizontal="center"/>
    </x:xf>
    <x:xf numFmtId="2" fontId="0" fillId="23" borderId="2" xfId="0" applyNumberFormat="1" applyFill="1" applyBorder="1" applyAlignment="1">
      <x:alignment horizontal="center"/>
    </x:xf>
    <x:xf numFmtId="2" fontId="0" fillId="20" borderId="1" xfId="0" applyNumberFormat="1" applyFill="1" applyBorder="1" applyAlignment="1">
      <x:alignment horizontal="center"/>
    </x:xf>
    <x:xf numFmtId="2" fontId="0" fillId="21" borderId="1" xfId="0" applyNumberFormat="1" applyFill="1" applyBorder="1" applyAlignment="1">
      <x:alignment horizontal="center"/>
    </x:xf>
    <x:xf numFmtId="2" fontId="0" fillId="22" borderId="1" xfId="0" applyNumberFormat="1" applyFill="1" applyBorder="1" applyAlignment="1">
      <x:alignment horizontal="center"/>
    </x:xf>
    <x:xf numFmtId="2" fontId="0" fillId="23" borderId="1" xfId="0" applyNumberFormat="1" applyFill="1" applyBorder="1" applyAlignment="1">
      <x:alignment horizontal="center"/>
    </x:xf>
    <x:xf numFmtId="0" fontId="2" fillId="6" borderId="0" xfId="0" applyFont="1" applyFill="1"/>
    <x:xf numFmtId="0" fontId="2" fillId="7" borderId="0" xfId="0" applyFont="1" applyFill="1"/>
    <x:xf numFmtId="0" fontId="13" fillId="2" borderId="16" xfId="0" applyFont="1" applyFill="1" applyBorder="1" applyAlignment="1">
      <x:alignment horizontal="center"/>
    </x:xf>
    <x:xf numFmtId="0" fontId="13" fillId="2" borderId="2" xfId="0" applyFont="1" applyFill="1" applyBorder="1" applyAlignment="1">
      <x:alignment horizontal="center"/>
    </x:xf>
    <x:xf numFmtId="0" fontId="5" fillId="7" borderId="16" xfId="0" applyFont="1" applyFill="1" applyBorder="1" applyAlignment="1">
      <x:alignment horizontal="right"/>
    </x:xf>
    <x:xf numFmtId="0" fontId="5" fillId="6" borderId="16" xfId="0" applyFont="1" applyFill="1" applyBorder="1" applyAlignment="1">
      <x:alignment horizontal="right"/>
    </x:xf>
    <x:xf numFmtId="0" fontId="5" fillId="4" borderId="16" xfId="0" applyFont="1" applyFill="1" applyBorder="1" applyAlignment="1">
      <x:alignment horizontal="right"/>
    </x:xf>
    <x:xf numFmtId="0" fontId="5" fillId="5" borderId="16" xfId="0" applyFont="1" applyFill="1" applyBorder="1" applyAlignment="1">
      <x:alignment horizontal="right"/>
    </x:xf>
    <x:xf numFmtId="0" fontId="5" fillId="0" borderId="0" xfId="0" applyFont="1" applyAlignment="1">
      <x:alignment horizontal="left"/>
    </x:xf>
    <x:xf numFmtId="0" fontId="28" fillId="0" borderId="0" xfId="0" applyFont="1" applyAlignment="1">
      <x:alignment vertical="top" wrapText="1"/>
    </x:xf>
    <x:xf numFmtId="0" fontId="25" fillId="0" borderId="0" xfId="0" applyFont="1" applyAlignment="1">
      <x:alignment vertical="center"/>
    </x:xf>
    <x:xf numFmtId="44" fontId="0" fillId="13" borderId="15" xfId="0" applyNumberFormat="1" applyFill="1" applyBorder="1" applyAlignment="1" applyProtection="1">
      <x:alignment vertical="center"/>
      <x:protection locked="0"/>
    </x:xf>
    <x:xf numFmtId="44" fontId="5" fillId="0" borderId="0" xfId="0" applyNumberFormat="1" applyFont="1" applyProtection="1">
      <x:protection hidden="1"/>
    </x:xf>
    <x:xf numFmtId="0" fontId="5" fillId="0" borderId="0" xfId="0" applyFont="1" applyAlignment="1" applyProtection="1">
      <x:alignment horizontal="right"/>
      <x:protection hidden="1"/>
    </x:xf>
    <x:xf numFmtId="2" fontId="5" fillId="0" borderId="0" xfId="0" applyNumberFormat="1" applyFont="1" applyAlignment="1" applyProtection="1">
      <x:alignment horizontal="center"/>
      <x:protection hidden="1"/>
    </x:xf>
    <x:xf numFmtId="44" fontId="0" fillId="0" borderId="0" xfId="0" applyNumberFormat="1" applyProtection="1">
      <x:protection hidden="1"/>
    </x:xf>
    <x:xf numFmtId="44" fontId="22" fillId="0" borderId="0" xfId="0" applyNumberFormat="1" applyFont="1" applyProtection="1">
      <x:protection hidden="1"/>
    </x:xf>
    <x:xf numFmtId="44" fontId="0" fillId="0" borderId="1" xfId="0" applyNumberFormat="1" applyBorder="1" applyAlignment="1" applyProtection="1">
      <x:alignment horizontal="center"/>
      <x:protection hidden="1"/>
    </x:xf>
    <x:xf numFmtId="0" fontId="22" fillId="0" borderId="31" xfId="0" applyFont="1" applyBorder="1" applyAlignment="1" applyProtection="1">
      <x:alignment horizontal="right"/>
      <x:protection hidden="1"/>
    </x:xf>
    <x:xf numFmtId="0" fontId="5" fillId="0" borderId="0" xfId="0" applyFont="1" applyProtection="1">
      <x:protection hidden="1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top" wrapText="1"/>
    </x:xf>
    <x:xf numFmtId="0" fontId="5" fillId="3" borderId="16" xfId="0" applyFont="1" applyFill="1" applyBorder="1" applyAlignment="1">
      <x:alignment horizontal="right" vertical="center"/>
    </x:xf>
    <x:xf numFmtId="2" fontId="0" fillId="3" borderId="2" xfId="0" applyNumberFormat="1" applyFill="1" applyBorder="1" applyAlignment="1">
      <x:alignment horizontal="center" vertical="center"/>
    </x:xf>
    <x:xf numFmtId="2" fontId="0" fillId="19" borderId="2" xfId="0" applyNumberFormat="1" applyFill="1" applyBorder="1" applyAlignment="1">
      <x:alignment horizontal="center" vertical="center"/>
    </x:xf>
    <x:xf numFmtId="2" fontId="0" fillId="19" borderId="1" xfId="0" applyNumberFormat="1" applyFill="1" applyBorder="1" applyAlignment="1">
      <x:alignment horizontal="center" vertical="center"/>
    </x:xf>
    <x:xf numFmtId="0" fontId="13" fillId="2" borderId="16" xfId="0" applyFont="1" applyFill="1" applyBorder="1" applyAlignment="1">
      <x:alignment horizontal="right" vertical="center"/>
    </x:xf>
    <x:xf numFmtId="1" fontId="13" fillId="2" borderId="2" xfId="0" applyNumberFormat="1" applyFont="1" applyFill="1" applyBorder="1" applyAlignment="1">
      <x:alignment horizontal="center" vertical="center"/>
    </x:xf>
    <x:xf numFmtId="0" fontId="0" fillId="17" borderId="0" xfId="0" applyFill="1"/>
    <x:xf numFmtId="2" fontId="0" fillId="17" borderId="0" xfId="0" applyNumberFormat="1" applyFill="1"/>
    <x:xf numFmtId="0" fontId="0" fillId="17" borderId="0" xfId="0" applyFill="1" applyProtection="1">
      <x:protection locked="0"/>
    </x:xf>
    <x:xf numFmtId="0" fontId="13" fillId="2" borderId="45" xfId="0" applyFont="1" applyFill="1" applyBorder="1" applyAlignment="1">
      <x:alignment horizontal="right" vertical="center"/>
    </x:xf>
    <x:xf numFmtId="1" fontId="13" fillId="2" borderId="3" xfId="0" applyNumberFormat="1" applyFont="1" applyFill="1" applyBorder="1" applyAlignment="1">
      <x:alignment horizontal="center" vertical="center"/>
    </x:xf>
    <x:xf numFmtId="0" fontId="13" fillId="2" borderId="45" xfId="0" applyFont="1" applyFill="1" applyBorder="1" applyAlignment="1">
      <x:alignment horizontal="right"/>
    </x:xf>
    <x:xf numFmtId="1" fontId="13" fillId="2" borderId="3" xfId="0" applyNumberFormat="1" applyFont="1" applyFill="1" applyBorder="1" applyAlignment="1">
      <x:alignment horizontal="center"/>
    </x:xf>
    <x:xf numFmtId="0" fontId="5" fillId="0" borderId="33" xfId="0" applyFont="1" applyBorder="1" applyAlignment="1" applyProtection="1">
      <x:alignment horizontal="center"/>
      <x:protection hidden="1"/>
    </x:xf>
    <x:xf numFmtId="0" fontId="5" fillId="0" borderId="34" xfId="0" applyFont="1" applyBorder="1" applyAlignment="1" applyProtection="1">
      <x:alignment horizontal="center"/>
      <x:protection hidden="1"/>
    </x:xf>
    <x:xf numFmtId="0" fontId="5" fillId="0" borderId="31" xfId="0" applyFont="1" applyBorder="1" applyAlignment="1" applyProtection="1">
      <x:alignment horizontal="center"/>
      <x:protection hidden="1"/>
    </x:xf>
    <x:xf numFmtId="2" fontId="0" fillId="0" borderId="2" xfId="0" applyNumberFormat="1" applyBorder="1" applyAlignment="1" applyProtection="1">
      <x:alignment horizontal="right"/>
      <x:protection hidden="1"/>
    </x:xf>
    <x:xf numFmtId="2" fontId="0" fillId="0" borderId="1" xfId="0" applyNumberFormat="1" applyBorder="1" applyAlignment="1" applyProtection="1">
      <x:alignment horizontal="right"/>
      <x:protection hidden="1"/>
    </x:xf>
    <x:xf numFmtId="2" fontId="0" fillId="18" borderId="1" xfId="0" applyNumberFormat="1" applyFill="1" applyBorder="1" applyAlignment="1" applyProtection="1">
      <x:alignment horizontal="right"/>
      <x:protection hidden="1"/>
    </x:xf>
    <x:xf numFmtId="2" fontId="22" fillId="0" borderId="31" xfId="0" applyNumberFormat="1" applyFont="1" applyBorder="1" applyAlignment="1" applyProtection="1">
      <x:alignment horizontal="right"/>
      <x:protection hidden="1"/>
    </x:xf>
    <x:xf numFmtId="2" fontId="0" fillId="0" borderId="25" xfId="0" applyNumberFormat="1" applyBorder="1" applyAlignment="1" applyProtection="1">
      <x:alignment horizontal="right"/>
      <x:protection hidden="1"/>
    </x:xf>
    <x:xf numFmtId="44" fontId="0" fillId="12" borderId="15" xfId="0" applyNumberFormat="1" applyFill="1" applyBorder="1" applyAlignment="1">
      <x:alignment vertical="center"/>
    </x:xf>
    <x:xf numFmtId="44" fontId="0" fillId="12" borderId="20" xfId="0" applyNumberFormat="1" applyFill="1" applyBorder="1" applyAlignment="1">
      <x:alignment vertical="center"/>
    </x:xf>
    <x:xf numFmtId="44" fontId="22" fillId="0" borderId="31" xfId="0" applyNumberFormat="1" applyFont="1" applyBorder="1" applyAlignment="1" applyProtection="1">
      <x:alignment horizontal="right"/>
      <x:protection hidden="1"/>
    </x:xf>
    <x:xf numFmtId="44" fontId="0" fillId="0" borderId="1" xfId="0" applyNumberFormat="1" applyBorder="1" applyAlignment="1" applyProtection="1">
      <x:alignment horizontal="right"/>
      <x:protection hidden="1"/>
    </x:xf>
    <x:xf numFmtId="0" fontId="13" fillId="2" borderId="46" xfId="0" applyFont="1" applyFill="1" applyBorder="1" applyAlignment="1">
      <x:alignment horizontal="center"/>
    </x:xf>
    <x:xf numFmtId="0" fontId="13" fillId="2" borderId="25" xfId="0" applyFont="1" applyFill="1" applyBorder="1" applyAlignment="1">
      <x:alignment horizontal="center"/>
    </x:xf>
    <x:xf numFmtId="2" fontId="0" fillId="0" borderId="3" xfId="0" applyNumberFormat="1" applyBorder="1" applyAlignment="1" applyProtection="1">
      <x:alignment horizontal="right"/>
      <x:protection hidden="1"/>
    </x:xf>
    <x:xf numFmtId="2" fontId="0" fillId="18" borderId="24" xfId="0" applyNumberFormat="1" applyFill="1" applyBorder="1" applyAlignment="1" applyProtection="1">
      <x:alignment horizontal="right"/>
      <x:protection hidden="1"/>
    </x:xf>
    <x:xf numFmtId="44" fontId="0" fillId="0" borderId="24" xfId="0" applyNumberFormat="1" applyBorder="1" applyAlignment="1" applyProtection="1">
      <x:alignment horizontal="center"/>
      <x:protection hidden="1"/>
    </x:xf>
    <x:xf numFmtId="0" fontId="0" fillId="0" borderId="37" xfId="0" applyBorder="1"/>
    <x:xf numFmtId="0" fontId="0" fillId="0" borderId="2" xfId="0" applyBorder="1" applyProtection="1">
      <x:protection locked="0"/>
    </x:xf>
    <x:xf numFmtId="0" fontId="0" fillId="0" borderId="50" xfId="0" applyBorder="1" applyProtection="1">
      <x:protection locked="0"/>
    </x:xf>
    <x:xf numFmtId="0" fontId="0" fillId="0" borderId="25" xfId="0" applyBorder="1" applyProtection="1">
      <x:protection locked="0"/>
    </x:xf>
    <x:xf numFmtId="0" fontId="2" fillId="3" borderId="0" xfId="0" applyFont="1" applyFill="1"/>
    <x:xf numFmtId="0" fontId="2" fillId="4" borderId="0" xfId="0" applyFont="1" applyFill="1"/>
    <x:xf numFmtId="0" fontId="2" fillId="5" borderId="0" xfId="0" applyFont="1" applyFill="1"/>
    <x:xf numFmtId="0" fontId="0" fillId="0" borderId="11" xfId="0" applyBorder="1" applyAlignment="1">
      <x:alignment horizontal="left"/>
    </x:xf>
    <x:xf numFmtId="164" fontId="0" fillId="0" borderId="12" xfId="0" applyNumberFormat="1" applyBorder="1" applyAlignment="1">
      <x:alignment horizontal="right"/>
    </x:xf>
    <x:xf numFmtId="44" fontId="17" fillId="0" borderId="0" xfId="0" applyNumberFormat="1" applyFont="1" applyProtection="1">
      <x:protection hidden="1"/>
    </x:xf>
    <x:xf numFmtId="1" fontId="0" fillId="0" borderId="0" xfId="0" applyNumberFormat="1" applyProtection="1">
      <x:protection hidden="1"/>
    </x:xf>
    <x:xf numFmtId="1" fontId="0" fillId="13" borderId="2" xfId="0" applyNumberFormat="1" applyFill="1" applyBorder="1" applyAlignment="1" applyProtection="1">
      <x:alignment horizontal="center" vertical="center"/>
      <x:protection locked="0"/>
    </x:xf>
    <x:xf numFmtId="0" fontId="32" fillId="0" borderId="0" xfId="0" applyFont="1" applyProtection="1">
      <x:protection locked="0"/>
    </x:xf>
    <x:xf numFmtId="0" fontId="3" fillId="0" borderId="0" xfId="0" applyFont="1" applyAlignment="1" applyProtection="1">
      <x:alignment horizontal="left" vertical="center"/>
      <x:protection locked="0"/>
    </x:xf>
    <x:xf numFmtId="0" fontId="32" fillId="0" borderId="0" xfId="0" applyFont="1" applyAlignment="1" applyProtection="1">
      <x:alignment horizontal="left" vertical="center"/>
      <x:protection locked="0"/>
    </x:xf>
    <x:xf numFmtId="0" fontId="3" fillId="0" borderId="0" xfId="0" applyFont="1" applyAlignment="1" applyProtection="1">
      <x:alignment horizontal="left"/>
      <x:protection locked="0"/>
    </x:xf>
    <x:xf numFmtId="0" fontId="3" fillId="0" borderId="0" xfId="0" applyFont="1" applyAlignment="1" applyProtection="1">
      <x:alignment horizontal="left" wrapText="1"/>
      <x:protection locked="0"/>
    </x:xf>
    <x:xf numFmtId="0" fontId="0" fillId="13" borderId="0" xfId="0" applyFill="1" applyProtection="1">
      <x:protection locked="0"/>
    </x:xf>
    <x:xf numFmtId="0" fontId="17" fillId="0" borderId="0" xfId="0" applyFont="1" applyAlignment="1" applyProtection="1">
      <x:alignment horizontal="left" vertical="center" wrapText="1"/>
      <x:protection locked="0"/>
    </x:xf>
    <x:xf numFmtId="0" fontId="1" fillId="0" borderId="0" xfId="0" applyFont="1" applyAlignment="1">
      <x:alignment horizontal="left" vertical="top" wrapText="1"/>
    </x:xf>
    <x:xf numFmtId="0" fontId="1" fillId="12" borderId="0" xfId="0" applyFont="1" applyFill="1"/>
    <x:xf numFmtId="0" fontId="1" fillId="11" borderId="0" xfId="0" applyFont="1" applyFill="1"/>
    <x:xf numFmtId="0" fontId="1" fillId="0" borderId="0" xfId="0" applyFont="1"/>
    <x:xf numFmtId="0" fontId="1" fillId="0" borderId="0" xfId="0" applyFont="1" applyAlignment="1">
      <x:alignment wrapText="1"/>
    </x:xf>
    <x:xf numFmtId="0" fontId="1" fillId="0" borderId="0" xfId="0" applyFont="1" applyAlignment="1">
      <x:alignment horizontal="left" vertical="center" indent="4"/>
    </x:xf>
    <x:xf numFmtId="0" fontId="32" fillId="0" borderId="0" xfId="0" applyFont="1" applyAlignment="1" applyProtection="1">
      <x:alignment horizontal="left"/>
      <x:protection locked="0"/>
    </x:xf>
    <x:xf numFmtId="1" fontId="3" fillId="0" borderId="0" xfId="0" applyNumberFormat="1" applyFont="1" applyAlignment="1" applyProtection="1">
      <x:alignment horizontal="right" vertical="center"/>
      <x:protection locked="0"/>
    </x:xf>
    <x:xf numFmtId="0" fontId="17" fillId="0" borderId="0" xfId="0" applyFont="1" applyAlignment="1" applyProtection="1">
      <x:alignment horizontal="left" vertical="center"/>
      <x:protection locked="0"/>
    </x:xf>
    <x:xf numFmtId="0" fontId="3" fillId="0" borderId="0" xfId="0" applyFont="1" applyAlignment="1" applyProtection="1">
      <x:alignment horizontal="left" vertical="center" wrapText="1"/>
      <x:protection locked="0"/>
    </x:xf>
    <x:xf numFmtId="0" fontId="21" fillId="0" borderId="0" xfId="0" applyFont="1" applyAlignment="1" applyProtection="1">
      <x:alignment horizontal="left" vertical="center" wrapText="1"/>
      <x:protection locked="0"/>
    </x:xf>
    <x:xf numFmtId="1" fontId="1" fillId="0" borderId="0" xfId="0" applyNumberFormat="1" applyFont="1" applyAlignment="1" applyProtection="1">
      <x:alignment horizontal="right" vertical="center"/>
      <x:protection locked="0"/>
    </x:xf>
    <x:xf numFmtId="0" fontId="33" fillId="0" borderId="0" xfId="0" applyFont="1" applyAlignment="1" applyProtection="1">
      <x:alignment horizontal="left" vertical="center"/>
      <x:protection locked="0"/>
    </x:xf>
    <x:xf numFmtId="0" fontId="3" fillId="0" borderId="0" xfId="0" applyFont="1" applyAlignment="1" applyProtection="1">
      <x:alignment horizontal="center" vertical="center"/>
      <x:protection locked="0"/>
    </x:xf>
    <x:xf numFmtId="0" fontId="33" fillId="0" borderId="0" xfId="0" applyFont="1" applyAlignment="1" applyProtection="1">
      <x:alignment vertical="center"/>
      <x:protection locked="0"/>
    </x:xf>
    <x:xf numFmtId="0" fontId="34" fillId="0" borderId="0" xfId="0" applyFont="1" applyAlignment="1" applyProtection="1">
      <x:alignment horizontal="left"/>
      <x:protection locked="0"/>
    </x:xf>
    <x:xf numFmtId="1" fontId="31" fillId="0" borderId="0" xfId="0" applyNumberFormat="1" applyFont="1" applyAlignment="1" applyProtection="1">
      <x:alignment horizontal="right" vertical="center"/>
      <x:protection locked="0"/>
    </x:xf>
    <x:xf numFmtId="0" fontId="3" fillId="0" borderId="0" xfId="0" applyFont="1" applyAlignment="1" applyProtection="1">
      <x:alignment horizontal="left" vertical="center" indent="2"/>
      <x:protection locked="0"/>
    </x:xf>
    <x:xf numFmtId="0" fontId="3" fillId="0" borderId="0" xfId="0" applyFont="1" applyAlignment="1" applyProtection="1">
      <x:alignment horizontal="left" vertical="center" indent="8"/>
      <x:protection locked="0"/>
    </x:xf>
    <x:xf numFmtId="0" fontId="3" fillId="0" borderId="0" xfId="0" applyFont="1" applyProtection="1">
      <x:protection locked="0"/>
    </x:xf>
    <x:xf numFmtId="0" fontId="3" fillId="0" borderId="0" xfId="0" applyFont="1" applyAlignment="1" applyProtection="1">
      <x:alignment horizontal="left" vertical="center" wrapText="1" indent="4"/>
      <x:protection locked="0"/>
    </x:xf>
    <x:xf numFmtId="0" fontId="21" fillId="0" borderId="0" xfId="0" applyFont="1" applyAlignment="1" applyProtection="1">
      <x:alignment horizontal="left" vertical="center" wrapText="1" indent="4"/>
      <x:protection locked="0"/>
    </x:xf>
    <x:xf numFmtId="9" fontId="0" fillId="26" borderId="15" xfId="0" applyNumberFormat="1" applyFill="1" applyBorder="1" applyAlignment="1" applyProtection="1">
      <x:alignment horizontal="left"/>
      <x:protection locked="0"/>
    </x:xf>
    <x:xf numFmtId="1" fontId="0" fillId="25" borderId="15" xfId="0" applyNumberFormat="1" applyFill="1" applyBorder="1" applyAlignment="1" applyProtection="1">
      <x:alignment horizontal="left"/>
      <x:protection locked="0"/>
    </x:xf>
    <x:xf numFmtId="44" fontId="0" fillId="25" borderId="15" xfId="0" applyNumberFormat="1" applyFill="1" applyBorder="1" applyAlignment="1" applyProtection="1">
      <x:alignment horizontal="left"/>
      <x:protection locked="0"/>
    </x:xf>
    <x:xf numFmtId="44" fontId="0" fillId="26" borderId="15" xfId="0" applyNumberFormat="1" applyFill="1" applyBorder="1" applyAlignment="1" applyProtection="1">
      <x:alignment horizontal="left"/>
      <x:protection locked="0"/>
    </x:xf>
    <x:xf numFmtId="44" fontId="0" fillId="27" borderId="15" xfId="0" applyNumberFormat="1" applyFill="1" applyBorder="1" applyAlignment="1" applyProtection="1">
      <x:alignment horizontal="left"/>
      <x:protection hidden="1"/>
    </x:xf>
    <x:xf numFmtId="2" fontId="0" fillId="27" borderId="15" xfId="0" applyNumberFormat="1" applyFill="1" applyBorder="1" applyAlignment="1" applyProtection="1">
      <x:alignment horizontal="left"/>
      <x:protection hidden="1"/>
    </x:xf>
    <x:xf numFmtId="0" fontId="0" fillId="26" borderId="15" xfId="0" applyFill="1" applyBorder="1" applyAlignment="1" applyProtection="1">
      <x:alignment horizontal="left"/>
      <x:protection locked="0"/>
    </x:xf>
    <x:xf numFmtId="9" fontId="0" fillId="26" borderId="23" xfId="0" applyNumberFormat="1" applyFill="1" applyBorder="1" applyAlignment="1" applyProtection="1">
      <x:alignment horizontal="left"/>
      <x:protection locked="0"/>
    </x:xf>
    <x:xf numFmtId="0" fontId="13" fillId="2" borderId="18" xfId="0" applyFont="1" applyFill="1" applyBorder="1" applyAlignment="1">
      <x:alignment horizontal="right"/>
    </x:xf>
    <x:xf numFmtId="9" fontId="0" fillId="26" borderId="20" xfId="0" applyNumberFormat="1" applyFill="1" applyBorder="1" applyAlignment="1" applyProtection="1">
      <x:alignment horizontal="left"/>
      <x:protection locked="0"/>
    </x:xf>
    <x:xf numFmtId="0" fontId="0" fillId="5" borderId="5" xfId="0" applyFill="1" applyBorder="1" applyAlignment="1" applyProtection="1">
      <x:alignment horizontal="center" vertical="top" wrapText="1"/>
      <x:protection locked="0"/>
    </x:xf>
    <x:xf numFmtId="0" fontId="10" fillId="5" borderId="6" xfId="0" applyFont="1" applyFill="1" applyBorder="1" applyAlignment="1" applyProtection="1">
      <x:alignment horizontal="center" vertical="top" wrapText="1"/>
      <x:protection locked="0"/>
    </x:xf>
    <x:xf numFmtId="0" fontId="5" fillId="0" borderId="16" xfId="0" applyFont="1" applyBorder="1" applyAlignment="1" applyProtection="1">
      <x:alignment horizontal="right"/>
      <x:protection hidden="1"/>
    </x:xf>
    <x:xf numFmtId="0" fontId="5" fillId="0" borderId="18" xfId="0" applyFont="1" applyBorder="1" applyAlignment="1" applyProtection="1">
      <x:alignment horizontal="right"/>
      <x:protection hidden="1"/>
    </x:xf>
    <x:xf numFmtId="44" fontId="0" fillId="0" borderId="15" xfId="0" applyNumberFormat="1" applyBorder="1" applyAlignment="1" applyProtection="1">
      <x:alignment horizontal="right"/>
      <x:protection hidden="1"/>
    </x:xf>
    <x:xf numFmtId="44" fontId="0" fillId="0" borderId="17" xfId="0" applyNumberFormat="1" applyBorder="1" applyAlignment="1" applyProtection="1">
      <x:alignment horizontal="right"/>
      <x:protection hidden="1"/>
    </x:xf>
    <x:xf numFmtId="44" fontId="0" fillId="0" borderId="21" xfId="0" applyNumberFormat="1" applyBorder="1" applyAlignment="1" applyProtection="1">
      <x:alignment horizontal="right"/>
      <x:protection hidden="1"/>
    </x:xf>
    <x:xf numFmtId="44" fontId="0" fillId="0" borderId="26" xfId="0" applyNumberFormat="1" applyBorder="1" applyAlignment="1" applyProtection="1">
      <x:alignment horizontal="right"/>
      <x:protection hidden="1"/>
    </x:xf>
    <x:xf numFmtId="2" fontId="5" fillId="0" borderId="22" xfId="0" applyNumberFormat="1" applyFont="1" applyBorder="1" applyAlignment="1" applyProtection="1">
      <x:alignment horizontal="right"/>
      <x:protection hidden="1"/>
    </x:xf>
    <x:xf numFmtId="2" fontId="5" fillId="0" borderId="16" xfId="0" applyNumberFormat="1" applyFont="1" applyBorder="1" applyAlignment="1" applyProtection="1">
      <x:alignment horizontal="right"/>
      <x:protection hidden="1"/>
    </x:xf>
    <x:xf numFmtId="2" fontId="5" fillId="0" borderId="45" xfId="0" applyNumberFormat="1" applyFont="1" applyBorder="1" applyAlignment="1" applyProtection="1">
      <x:alignment horizontal="right"/>
      <x:protection hidden="1"/>
    </x:xf>
    <x:xf numFmtId="2" fontId="5" fillId="0" borderId="16" xfId="0" applyNumberFormat="1" applyFont="1" applyBorder="1" applyAlignment="1" applyProtection="1">
      <x:alignment horizontal="right" vertical="center"/>
      <x:protection hidden="1"/>
    </x:xf>
    <x:xf numFmtId="2" fontId="5" fillId="0" borderId="45" xfId="0" applyNumberFormat="1" applyFont="1" applyBorder="1" applyAlignment="1" applyProtection="1">
      <x:alignment horizontal="right" vertical="center"/>
      <x:protection hidden="1"/>
    </x:xf>
    <x:xf numFmtId="44" fontId="5" fillId="0" borderId="31" xfId="0" applyNumberFormat="1" applyFont="1" applyBorder="1" applyAlignment="1" applyProtection="1">
      <x:alignment horizontal="right"/>
      <x:protection hidden="1"/>
    </x:xf>
    <x:xf numFmtId="2" fontId="5" fillId="0" borderId="31" xfId="0" applyNumberFormat="1" applyFont="1" applyBorder="1" applyAlignment="1" applyProtection="1">
      <x:alignment horizontal="right"/>
      <x:protection hidden="1"/>
    </x:xf>
    <x:xf numFmtId="0" fontId="5" fillId="0" borderId="33" xfId="0" applyFont="1" applyBorder="1" applyAlignment="1" applyProtection="1">
      <x:alignment horizontal="right"/>
      <x:protection hidden="1"/>
    </x:xf>
    <x:xf numFmtId="0" fontId="5" fillId="0" borderId="46" xfId="0" applyFont="1" applyBorder="1" applyAlignment="1" applyProtection="1">
      <x:alignment horizontal="right"/>
      <x:protection hidden="1"/>
    </x:xf>
    <x:xf numFmtId="2" fontId="0" fillId="0" borderId="30" xfId="0" applyNumberFormat="1" applyBorder="1" applyAlignment="1" applyProtection="1">
      <x:alignment horizontal="right"/>
      <x:protection hidden="1"/>
    </x:xf>
    <x:xf numFmtId="44" fontId="0" fillId="0" borderId="30" xfId="0" applyNumberFormat="1" applyBorder="1" applyAlignment="1" applyProtection="1">
      <x:alignment horizontal="center"/>
      <x:protection hidden="1"/>
    </x:xf>
    <x:xf numFmtId="44" fontId="0" fillId="0" borderId="30" xfId="0" applyNumberFormat="1" applyBorder="1" applyAlignment="1" applyProtection="1">
      <x:alignment horizontal="right"/>
      <x:protection hidden="1"/>
    </x:xf>
    <x:xf numFmtId="0" fontId="5" fillId="0" borderId="31" xfId="0" applyFont="1" applyBorder="1" applyAlignment="1" applyProtection="1">
      <x:alignment horizontal="center" vertical="center"/>
      <x:protection hidden="1"/>
    </x:xf>
    <x:xf numFmtId="0" fontId="5" fillId="0" borderId="22" xfId="0" applyFont="1" applyBorder="1" applyAlignment="1">
      <x:alignment horizontal="center" vertical="center"/>
    </x:xf>
    <x:xf numFmtId="0" fontId="0" fillId="0" borderId="53" xfId="0" applyBorder="1"/>
    <x:xf numFmtId="0" fontId="0" fillId="0" borderId="54" xfId="0" applyBorder="1"/>
    <x:xf numFmtId="0" fontId="0" fillId="0" borderId="16" xfId="0" applyBorder="1" applyAlignment="1">
      <x:alignment horizontal="right" vertical="center"/>
    </x:xf>
    <x:xf numFmtId="0" fontId="0" fillId="0" borderId="51" xfId="0" applyBorder="1"/>
    <x:xf numFmtId="0" fontId="5" fillId="9" borderId="31" xfId="0" applyFont="1" applyFill="1" applyBorder="1" applyAlignment="1">
      <x:alignment horizontal="center" vertical="center"/>
    </x:xf>
    <x:xf numFmtId="0" fontId="0" fillId="0" borderId="13" xfId="0" applyBorder="1"/>
    <x:xf numFmtId="0" fontId="0" fillId="0" borderId="0" xfId="0" applyAlignment="1">
      <x:alignment horizontal="center"/>
    </x:xf>
    <x:xf numFmtId="0" fontId="0" fillId="0" borderId="0" xfId="0"/>
    <x:xf numFmtId="2" fontId="14" fillId="14" borderId="31" xfId="0" applyNumberFormat="1" applyFont="1" applyFill="1" applyBorder="1" applyAlignment="1" applyProtection="1">
      <x:alignment horizontal="center" vertical="center"/>
      <x:protection hidden="1"/>
    </x:xf>
    <x:xf numFmtId="0" fontId="0" fillId="0" borderId="6" xfId="0" applyBorder="1" applyProtection="1">
      <x:protection hidden="1"/>
    </x:xf>
    <x:xf numFmtId="0" fontId="0" fillId="0" borderId="11" xfId="0" applyBorder="1" applyProtection="1">
      <x:protection hidden="1"/>
    </x:xf>
    <x:xf numFmtId="0" fontId="0" fillId="0" borderId="12" xfId="0" applyBorder="1" applyProtection="1">
      <x:protection hidden="1"/>
    </x:xf>
    <x:xf numFmtId="0" fontId="0" fillId="0" borderId="9" xfId="0" applyBorder="1" applyProtection="1">
      <x:protection hidden="1"/>
    </x:xf>
    <x:xf numFmtId="0" fontId="0" fillId="0" borderId="10" xfId="0" applyBorder="1" applyProtection="1">
      <x:protection hidden="1"/>
    </x:xf>
    <x:xf numFmtId="2" fontId="5" fillId="9" borderId="31" xfId="0" applyNumberFormat="1" applyFont="1" applyFill="1" applyBorder="1" applyAlignment="1" applyProtection="1">
      <x:alignment horizontal="center" vertical="center"/>
      <x:protection hidden="1"/>
    </x:xf>
    <x:xf numFmtId="2" fontId="5" fillId="8" borderId="31" xfId="0" applyNumberFormat="1" applyFont="1" applyFill="1" applyBorder="1" applyAlignment="1" applyProtection="1">
      <x:alignment horizontal="center" vertical="center"/>
      <x:protection hidden="1"/>
    </x:xf>
    <x:xf numFmtId="0" fontId="25" fillId="0" borderId="0" xfId="0" applyFont="1" applyAlignment="1">
      <x:alignment horizontal="center" vertical="center"/>
    </x:xf>
    <x:xf numFmtId="0" fontId="5" fillId="8" borderId="31" xfId="0" applyFont="1" applyFill="1" applyBorder="1" applyAlignment="1">
      <x:alignment horizontal="center" vertical="center"/>
    </x:xf>
    <x:xf numFmtId="0" fontId="3" fillId="5" borderId="13" xfId="0" applyFont="1" applyFill="1" applyBorder="1" applyAlignment="1" applyProtection="1">
      <x:alignment horizontal="left" vertical="top" wrapText="1"/>
      <x:protection locked="0"/>
    </x:xf>
    <x:xf numFmtId="0" fontId="0" fillId="0" borderId="12" xfId="0" applyBorder="1" applyProtection="1">
      <x:protection locked="0"/>
    </x:xf>
    <x:xf numFmtId="0" fontId="0" fillId="0" borderId="11" xfId="0" applyBorder="1" applyProtection="1">
      <x:protection locked="0"/>
    </x:xf>
    <x:xf numFmtId="0" fontId="0" fillId="0" borderId="9" xfId="0" applyBorder="1" applyProtection="1">
      <x:protection locked="0"/>
    </x:xf>
    <x:xf numFmtId="0" fontId="0" fillId="0" borderId="10" xfId="0" applyBorder="1" applyProtection="1">
      <x:protection locked="0"/>
    </x:xf>
    <x:xf numFmtId="44" fontId="15" fillId="16" borderId="31" xfId="0" applyNumberFormat="1" applyFont="1" applyFill="1" applyBorder="1" applyAlignment="1" applyProtection="1">
      <x:alignment horizontal="center" vertical="center"/>
      <x:protection hidden="1"/>
    </x:xf>
    <x:xf numFmtId="2" fontId="5" fillId="24" borderId="31" xfId="0" applyNumberFormat="1" applyFont="1" applyFill="1" applyBorder="1" applyAlignment="1" applyProtection="1">
      <x:alignment horizontal="center" vertical="center"/>
      <x:protection hidden="1"/>
    </x:xf>
    <x:xf numFmtId="0" fontId="25" fillId="0" borderId="8" xfId="0" applyFont="1" applyBorder="1" applyAlignment="1">
      <x:alignment horizontal="right" vertical="center"/>
    </x:xf>
    <x:xf numFmtId="0" fontId="0" fillId="0" borderId="8" xfId="0" applyBorder="1"/>
    <x:xf numFmtId="0" fontId="5" fillId="24" borderId="31" xfId="0" applyFont="1" applyFill="1" applyBorder="1" applyAlignment="1">
      <x:alignment horizontal="center" vertical="center"/>
    </x:xf>
    <x:xf numFmtId="0" fontId="30" fillId="0" borderId="7" xfId="0" applyFont="1" applyBorder="1" applyAlignment="1">
      <x:alignment horizontal="center" vertical="center"/>
    </x:xf>
    <x:xf numFmtId="0" fontId="0" fillId="0" borderId="6" xfId="0" applyBorder="1"/>
    <x:xf numFmtId="0" fontId="0" fillId="0" borderId="11" xfId="0" applyBorder="1"/>
    <x:xf numFmtId="0" fontId="0" fillId="0" borderId="12" xfId="0" applyBorder="1"/>
    <x:xf numFmtId="0" fontId="5" fillId="0" borderId="0" xfId="0" applyFont="1" applyAlignment="1">
      <x:alignment horizontal="center"/>
    </x:xf>
    <x:xf numFmtId="2" fontId="13" fillId="15" borderId="31" xfId="0" applyNumberFormat="1" applyFont="1" applyFill="1" applyBorder="1" applyAlignment="1" applyProtection="1">
      <x:alignment horizontal="center" vertical="center"/>
      <x:protection hidden="1"/>
    </x:xf>
    <x:xf numFmtId="0" fontId="14" fillId="14" borderId="31" xfId="0" applyFont="1" applyFill="1" applyBorder="1" applyAlignment="1">
      <x:alignment horizontal="center" vertical="center"/>
    </x:xf>
    <x:xf numFmtId="0" fontId="0" fillId="0" borderId="14" xfId="0" applyBorder="1"/>
    <x:xf numFmtId="0" fontId="13" fillId="15" borderId="11" xfId="0" applyFont="1" applyFill="1" applyBorder="1" applyAlignment="1">
      <x:alignment horizontal="center" vertical="center"/>
    </x:xf>
    <x:xf numFmtId="0" fontId="0" fillId="0" borderId="28" xfId="0" applyBorder="1" applyAlignment="1">
      <x:alignment horizontal="center"/>
    </x:xf>
    <x:xf numFmtId="0" fontId="0" fillId="0" borderId="28" xfId="0" applyBorder="1"/>
    <x:xf numFmtId="0" fontId="28" fillId="9" borderId="52" xfId="0" applyFont="1" applyFill="1" applyBorder="1" applyAlignment="1">
      <x:alignment horizontal="center" vertical="top" wrapText="1"/>
    </x:xf>
    <x:xf numFmtId="0" fontId="0" fillId="0" borderId="38" xfId="0" applyBorder="1"/>
    <x:xf numFmtId="0" fontId="0" fillId="0" borderId="39" xfId="0" applyBorder="1"/>
    <x:xf numFmtId="0" fontId="0" fillId="0" borderId="40" xfId="0" applyBorder="1"/>
    <x:xf numFmtId="0" fontId="0" fillId="0" borderId="41" xfId="0" applyBorder="1"/>
    <x:xf numFmtId="0" fontId="0" fillId="0" borderId="42" xfId="0" applyBorder="1"/>
    <x:xf numFmtId="0" fontId="0" fillId="0" borderId="43" xfId="0" applyBorder="1"/>
    <x:xf numFmtId="0" fontId="0" fillId="0" borderId="44" xfId="0" applyBorder="1"/>
    <x:xf numFmtId="0" fontId="0" fillId="0" borderId="41" xfId="0" applyBorder="1" applyAlignment="1">
      <x:alignment horizontal="center"/>
    </x:xf>
    <x:xf numFmtId="0" fontId="0" fillId="0" borderId="18" xfId="0" applyBorder="1" applyAlignment="1">
      <x:alignment horizontal="right" vertical="center"/>
    </x:xf>
    <x:xf numFmtId="0" fontId="0" fillId="0" borderId="55" xfId="0" applyBorder="1"/>
    <x:xf numFmtId="0" fontId="16" fillId="0" borderId="13" xfId="0" applyFont="1" applyBorder="1" applyAlignment="1">
      <x:alignment horizontal="center"/>
    </x:xf>
    <x:xf numFmtId="0" fontId="0" fillId="0" borderId="10" xfId="0" applyBorder="1"/>
    <x:xf numFmtId="0" fontId="15" fillId="16" borderId="31" xfId="0" applyFont="1" applyFill="1" applyBorder="1" applyAlignment="1">
      <x:alignment horizontal="center" vertical="center"/>
    </x:xf>
    <x:xf numFmtId="44" fontId="13" fillId="2" borderId="2" xfId="0" applyNumberFormat="1" applyFont="1" applyFill="1" applyBorder="1" applyAlignment="1">
      <x:alignment horizontal="center"/>
    </x:xf>
    <x:xf numFmtId="44" fontId="13" fillId="2" borderId="20" xfId="0" applyNumberFormat="1" applyFont="1" applyFill="1" applyBorder="1" applyAlignment="1">
      <x:alignment horizontal="center"/>
    </x:xf>
    <x:xf numFmtId="0" fontId="0" fillId="0" borderId="48" xfId="0" applyBorder="1"/>
    <x:xf numFmtId="0" fontId="13" fillId="2" borderId="15" xfId="0" applyFont="1" applyFill="1" applyBorder="1" applyAlignment="1">
      <x:alignment horizontal="center"/>
    </x:xf>
    <x:xf numFmtId="0" fontId="0" fillId="0" borderId="32" xfId="0" applyBorder="1"/>
    <x:xf numFmtId="0" fontId="13" fillId="2" borderId="21" xfId="0" applyFont="1" applyFill="1" applyBorder="1" applyAlignment="1">
      <x:alignment horizontal="center"/>
    </x:xf>
    <x:xf numFmtId="0" fontId="0" fillId="0" borderId="47" xfId="0" applyBorder="1"/>
    <x:xf numFmtId="0" fontId="22" fillId="6" borderId="29" xfId="0" applyFont="1" applyFill="1" applyBorder="1" applyAlignment="1">
      <x:alignment horizontal="center"/>
    </x:xf>
    <x:xf numFmtId="0" fontId="0" fillId="0" borderId="59" xfId="0" applyBorder="1"/>
    <x:xf numFmtId="44" fontId="5" fillId="3" borderId="15" xfId="0" applyNumberFormat="1" applyFont="1" applyFill="1" applyBorder="1" applyAlignment="1">
      <x:alignment horizontal="right" vertical="center"/>
    </x:xf>
    <x:xf numFmtId="0" fontId="22" fillId="7" borderId="16" xfId="0" applyFont="1" applyFill="1" applyBorder="1" applyAlignment="1">
      <x:alignment horizontal="center"/>
    </x:xf>
    <x:xf numFmtId="0" fontId="0" fillId="0" borderId="56" xfId="0" applyBorder="1"/>
    <x:xf numFmtId="44" fontId="5" fillId="5" borderId="15" xfId="0" applyNumberFormat="1" applyFont="1" applyFill="1" applyBorder="1" applyAlignment="1">
      <x:alignment horizontal="center" vertical="center"/>
    </x:xf>
    <x:xf numFmtId="44" fontId="5" fillId="7" borderId="15" xfId="0" applyNumberFormat="1" applyFont="1" applyFill="1" applyBorder="1" applyAlignment="1">
      <x:alignment horizontal="center"/>
    </x:xf>
    <x:xf numFmtId="44" fontId="5" fillId="4" borderId="15" xfId="0" applyNumberFormat="1" applyFont="1" applyFill="1" applyBorder="1" applyAlignment="1">
      <x:alignment horizontal="center"/>
    </x:xf>
    <x:xf numFmtId="0" fontId="13" fillId="2" borderId="58" xfId="0" applyFont="1" applyFill="1" applyBorder="1" applyAlignment="1">
      <x:alignment horizontal="center"/>
    </x:xf>
    <x:xf numFmtId="44" fontId="13" fillId="2" borderId="2" xfId="0" applyNumberFormat="1" applyFont="1" applyFill="1" applyBorder="1" applyAlignment="1">
      <x:alignment horizontal="center" vertical="center"/>
    </x:xf>
    <x:xf numFmtId="0" fontId="22" fillId="4" borderId="31" xfId="0" applyFont="1" applyFill="1" applyBorder="1" applyAlignment="1">
      <x:alignment horizontal="center" vertical="center"/>
    </x:xf>
    <x:xf numFmtId="0" fontId="0" fillId="0" borderId="34" xfId="0" applyBorder="1"/>
    <x:xf numFmtId="44" fontId="5" fillId="6" borderId="2" xfId="0" applyNumberFormat="1" applyFont="1" applyFill="1" applyBorder="1" applyAlignment="1">
      <x:alignment horizontal="center"/>
    </x:xf>
    <x:xf numFmtId="0" fontId="27" fillId="2" borderId="36" xfId="0" applyFont="1" applyFill="1" applyBorder="1" applyAlignment="1">
      <x:alignment horizontal="center" vertical="center"/>
    </x:xf>
    <x:xf numFmtId="0" fontId="0" fillId="0" borderId="49" xfId="0" applyBorder="1"/>
    <x:xf numFmtId="0" fontId="0" fillId="0" borderId="36" xfId="0" applyBorder="1"/>
    <x:xf numFmtId="0" fontId="0" fillId="0" borderId="24" xfId="0" applyBorder="1" applyAlignment="1">
      <x:alignment horizontal="center"/>
    </x:xf>
    <x:xf numFmtId="0" fontId="0" fillId="0" borderId="37" xfId="0" applyBorder="1"/>
    <x:xf numFmtId="44" fontId="5" fillId="28" borderId="15" xfId="0" applyNumberFormat="1" applyFont="1" applyFill="1" applyBorder="1" applyAlignment="1">
      <x:alignment horizontal="center" vertical="center"/>
    </x:xf>
    <x:xf numFmtId="44" fontId="5" fillId="12" borderId="15" xfId="0" applyNumberFormat="1" applyFont="1" applyFill="1" applyBorder="1" applyAlignment="1">
      <x:alignment horizontal="center" vertical="center"/>
    </x:xf>
    <x:xf numFmtId="44" fontId="5" fillId="7" borderId="2" xfId="0" applyNumberFormat="1" applyFont="1" applyFill="1" applyBorder="1" applyAlignment="1">
      <x:alignment horizontal="center"/>
    </x:xf>
    <x:xf numFmtId="0" fontId="22" fillId="7" borderId="22" xfId="0" applyFont="1" applyFill="1" applyBorder="1" applyAlignment="1">
      <x:alignment horizontal="center" vertical="center"/>
    </x:xf>
    <x:xf numFmtId="44" fontId="26" fillId="6" borderId="34" xfId="0" applyNumberFormat="1" applyFont="1" applyFill="1" applyBorder="1" applyAlignment="1">
      <x:alignment horizontal="center" vertical="center"/>
    </x:xf>
    <x:xf numFmtId="0" fontId="0" fillId="0" borderId="4" xfId="0" applyBorder="1"/>
    <x:xf numFmtId="44" fontId="5" fillId="7" borderId="15" xfId="0" applyNumberFormat="1" applyFont="1" applyFill="1" applyBorder="1" applyAlignment="1">
      <x:alignment horizontal="center" vertical="center"/>
    </x:xf>
    <x:xf numFmtId="0" fontId="22" fillId="3" borderId="16" xfId="0" applyFont="1" applyFill="1" applyBorder="1" applyAlignment="1">
      <x:alignment horizontal="center" vertical="center"/>
    </x:xf>
    <x:xf numFmtId="0" fontId="0" fillId="0" borderId="35" xfId="0" applyBorder="1" applyAlignment="1">
      <x:alignment horizontal="center"/>
    </x:xf>
    <x:xf numFmtId="0" fontId="0" fillId="0" borderId="35" xfId="0" applyBorder="1"/>
    <x:xf numFmtId="44" fontId="5" fillId="3" borderId="15" xfId="0" applyNumberFormat="1" applyFont="1" applyFill="1" applyBorder="1" applyAlignment="1">
      <x:alignment horizontal="center" vertical="center"/>
    </x:xf>
    <x:xf numFmtId="44" fontId="13" fillId="2" borderId="15" xfId="0" applyNumberFormat="1" applyFont="1" applyFill="1" applyBorder="1" applyAlignment="1">
      <x:alignment horizontal="center" vertical="center"/>
    </x:xf>
    <x:xf numFmtId="44" fontId="5" fillId="5" borderId="15" xfId="0" applyNumberFormat="1" applyFont="1" applyFill="1" applyBorder="1" applyAlignment="1">
      <x:alignment horizontal="center"/>
    </x:xf>
    <x:xf numFmtId="0" fontId="27" fillId="2" borderId="48" xfId="0" applyFont="1" applyFill="1" applyBorder="1" applyAlignment="1">
      <x:alignment horizontal="center" vertical="center"/>
    </x:xf>
    <x:xf numFmtId="44" fontId="26" fillId="5" borderId="34" xfId="0" applyNumberFormat="1" applyFont="1" applyFill="1" applyBorder="1" applyAlignment="1">
      <x:alignment horizontal="center" vertical="center"/>
    </x:xf>
    <x:xf numFmtId="44" fontId="26" fillId="3" borderId="34" xfId="0" applyNumberFormat="1" applyFont="1" applyFill="1" applyBorder="1" applyAlignment="1">
      <x:alignment horizontal="center" vertical="center"/>
    </x:xf>
    <x:xf numFmtId="44" fontId="26" fillId="7" borderId="34" xfId="0" applyNumberFormat="1" applyFont="1" applyFill="1" applyBorder="1" applyAlignment="1">
      <x:alignment horizontal="center" vertical="center"/>
    </x:xf>
    <x:xf numFmtId="0" fontId="0" fillId="0" borderId="11" xfId="0" applyBorder="1" applyAlignment="1">
      <x:alignment horizontal="center"/>
    </x:xf>
    <x:xf numFmtId="0" fontId="0" fillId="7" borderId="31" xfId="0" applyFill="1" applyBorder="1" applyAlignment="1">
      <x:alignment horizontal="center"/>
    </x:xf>
    <x:xf numFmtId="0" fontId="0" fillId="0" borderId="9" xfId="0" applyBorder="1"/>
    <x:xf numFmtId="0" fontId="22" fillId="6" borderId="31" xfId="0" applyFont="1" applyFill="1" applyBorder="1" applyAlignment="1">
      <x:alignment horizontal="center" vertical="center"/>
    </x:xf>
    <x:xf numFmtId="44" fontId="13" fillId="2" borderId="15" xfId="0" applyNumberFormat="1" applyFont="1" applyFill="1" applyBorder="1" applyAlignment="1">
      <x:alignment horizontal="center"/>
    </x:xf>
    <x:xf numFmtId="0" fontId="29" fillId="0" borderId="31" xfId="0" applyFont="1" applyBorder="1" applyAlignment="1">
      <x:alignment horizontal="center" vertical="center"/>
    </x:xf>
    <x:xf numFmtId="0" fontId="22" fillId="5" borderId="22" xfId="0" applyFont="1" applyFill="1" applyBorder="1" applyAlignment="1">
      <x:alignment horizontal="center" vertical="center"/>
    </x:xf>
    <x:xf numFmtId="44" fontId="26" fillId="4" borderId="31" xfId="0" applyNumberFormat="1" applyFont="1" applyFill="1" applyBorder="1" applyAlignment="1">
      <x:alignment horizontal="center" vertical="center"/>
    </x:xf>
    <x:xf numFmtId="0" fontId="0" fillId="4" borderId="31" xfId="0" applyFill="1" applyBorder="1" applyAlignment="1">
      <x:alignment horizontal="center"/>
    </x:xf>
    <x:xf numFmtId="44" fontId="13" fillId="2" borderId="19" xfId="0" applyNumberFormat="1" applyFont="1" applyFill="1" applyBorder="1" applyAlignment="1">
      <x:alignment horizontal="center"/>
    </x:xf>
    <x:xf numFmtId="44" fontId="5" fillId="3" borderId="2" xfId="0" applyNumberFormat="1" applyFont="1" applyFill="1" applyBorder="1" applyAlignment="1">
      <x:alignment horizontal="right" vertical="center"/>
    </x:xf>
    <x:xf numFmtId="0" fontId="0" fillId="6" borderId="31" xfId="0" applyFill="1" applyBorder="1" applyAlignment="1">
      <x:alignment horizontal="center"/>
    </x:xf>
    <x:xf numFmtId="0" fontId="0" fillId="3" borderId="57" xfId="0" applyFill="1" applyBorder="1" applyAlignment="1">
      <x:alignment horizontal="center"/>
    </x:xf>
    <x:xf numFmtId="0" fontId="0" fillId="0" borderId="27" xfId="0" applyBorder="1"/>
    <x:xf numFmtId="0" fontId="13" fillId="2" borderId="17" xfId="0" applyFont="1" applyFill="1" applyBorder="1" applyAlignment="1">
      <x:alignment horizontal="center"/>
    </x:xf>
    <x:xf numFmtId="0" fontId="22" fillId="5" borderId="16" xfId="0" applyFont="1" applyFill="1" applyBorder="1" applyAlignment="1">
      <x:alignment horizontal="center"/>
    </x:xf>
    <x:xf numFmtId="0" fontId="27" fillId="2" borderId="18" xfId="0" applyFont="1" applyFill="1" applyBorder="1" applyAlignment="1">
      <x:alignment horizontal="center" vertical="center"/>
    </x:xf>
    <x:xf numFmtId="0" fontId="22" fillId="3" borderId="22" xfId="0" applyFont="1" applyFill="1" applyBorder="1" applyAlignment="1">
      <x:alignment horizontal="center" vertical="center"/>
    </x:xf>
    <x:xf numFmtId="0" fontId="0" fillId="5" borderId="31" xfId="0" applyFill="1" applyBorder="1" applyAlignment="1">
      <x:alignment horizontal="center"/>
    </x:xf>
    <x:xf numFmtId="0" fontId="5" fillId="0" borderId="29" xfId="0" applyFont="1" applyBorder="1" applyAlignment="1" applyProtection="1">
      <x:alignment horizontal="center"/>
      <x:protection hidden="1"/>
    </x:xf>
    <x:xf numFmtId="0" fontId="0" fillId="0" borderId="28" xfId="0" applyBorder="1" applyProtection="1">
      <x:protection hidden="1"/>
    </x:xf>
    <x:xf numFmtId="0" fontId="0" fillId="0" borderId="59" xfId="0" applyBorder="1" applyProtection="1">
      <x:protection hidden="1"/>
    </x:xf>
    <x:xf numFmtId="0" fontId="23" fillId="0" borderId="0" xfId="0" applyFont="1" applyAlignment="1" applyProtection="1">
      <x:alignment horizontal="center"/>
      <x:protection hidden="1"/>
    </x:xf>
    <x:xf numFmtId="0" fontId="0" fillId="0" borderId="0" xfId="0" applyProtection="1">
      <x:protection hidden="1"/>
    </x:xf>
    <x:xf numFmtId="0" fontId="5" fillId="0" borderId="31" xfId="0" applyFont="1" applyBorder="1" applyAlignment="1" applyProtection="1">
      <x:alignment horizontal="center"/>
      <x:protection hidden="1"/>
    </x:xf>
    <x:xf numFmtId="0" fontId="0" fillId="0" borderId="34" xfId="0" applyBorder="1" applyProtection="1">
      <x:protection hidden="1"/>
    </x:xf>
    <x:xf numFmtId="0" fontId="13" fillId="10" borderId="0" xfId="0" applyFont="1" applyFill="1" applyAlignment="1">
      <x:alignment horizontal="left"/>
    </x:xf>
    <x:xf numFmtId="0" fontId="24" fillId="0" borderId="0" xfId="0" applyFont="1" applyAlignment="1">
      <x:alignment horizontal="center"/>
    </x:xf>
    <x:xf numFmtId="0" fontId="13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26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14" fillId="1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4" fillId="1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28" fillId="9" borderId="5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" fontId="0" fillId="25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4" fontId="0" fillId="25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4" fontId="0" fillId="26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13" fillId="1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3" fillId="1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44" fontId="0" fillId="27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1"/>
    </x:xf>
    <x:xf numFmtId="2" fontId="0" fillId="27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1"/>
    </x:xf>
    <x:xf numFmtId="0" fontId="5" fillId="8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8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0" fillId="26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5" fillId="2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5" fillId="9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9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15" fillId="16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5" fillId="16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9" fontId="0" fillId="26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4" fontId="0" fillId="13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2" borderId="1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26" borderId="2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5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10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3" fillId="5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44" fontId="0" fillId="12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4" fontId="0" fillId="12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1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4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3" borderId="1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19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1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5" fillId="3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5" fillId="4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0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0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1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" fontId="1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4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13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1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4" fontId="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5" fillId="28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4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" fontId="1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3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3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4" fontId="5" fillId="3" borderId="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7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5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26" fillId="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6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5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5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1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1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5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6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6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6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1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1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13" fillId="2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6" borderId="2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5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5" fillId="1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7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26" fillId="6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7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7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7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7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7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7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18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2" fontId="0" fillId="18" borderId="2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0" fontId="13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10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6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6" fillId="0" borderId="8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6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7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8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4" fontId="35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8" fillId="2" borderId="16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9" fontId="35" fillId="26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9" fillId="14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2" fontId="39" fillId="14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1"/>
    </x:xf>
    <x:xf numFmtId="0" fontId="35" fillId="0" borderId="6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35" fillId="0" borderId="4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40" fillId="9" borderId="5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38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39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1" fillId="0" borderId="7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" fontId="35" fillId="25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5" fillId="0" borderId="14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1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35" fillId="0" borderId="1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35" fillId="0" borderId="4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40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1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4" fontId="35" fillId="25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5" fillId="0" borderId="13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9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35" fillId="0" borderId="10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35" fillId="0" borderId="1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35" fillId="0" borderId="1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4" fontId="35" fillId="26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8" fillId="15" borderId="1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2" fontId="38" fillId="15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1"/>
    </x:xf>
    <x:xf numFmtId="44" fontId="35" fillId="27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1"/>
    </x:xf>
    <x:xf numFmtId="0" fontId="35" fillId="0" borderId="1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35" fillId="27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1"/>
    </x:xf>
    <x:xf numFmtId="0" fontId="37" fillId="8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2" fontId="37" fillId="8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1"/>
    </x:xf>
    <x:xf numFmtId="0" fontId="35" fillId="26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7" fillId="24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2" fontId="37" fillId="24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1"/>
    </x:xf>
    <x:xf numFmtId="0" fontId="37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7" fillId="9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2" fontId="37" fillId="9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1"/>
    </x:xf>
    <x:xf numFmtId="44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2" fillId="0" borderId="1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10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7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3" fillId="16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44" fontId="43" fillId="16" borderId="3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1"/>
    </x:xf>
    <x:xf numFmtId="2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9" fontId="35" fillId="26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5" fillId="0" borderId="2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5" fillId="0" borderId="28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8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7" fillId="0" borderId="22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5" fillId="0" borderId="53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54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16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5" fillId="0" borderId="5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4" fontId="35" fillId="13" borderId="15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8" fillId="2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9" fontId="35" fillId="26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5" fillId="5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44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45" fillId="5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35" fillId="0" borderId="1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4" fontId="35" fillId="12" borderId="15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35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5" fillId="0" borderId="1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5" fillId="0" borderId="18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5" fillId="0" borderId="55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4" fontId="35" fillId="12" borderId="20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4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43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44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" fontId="37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6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5" fillId="0" borderId="9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5" fillId="0" borderId="10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5" fillId="0" borderId="24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5" fillId="0" borderId="3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5" fillId="0" borderId="35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5" fillId="0" borderId="37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7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8" fillId="3" borderId="2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5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5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1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8" fillId="4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2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3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8" fillId="2" borderId="1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8" fillId="2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8" fillId="2" borderId="1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2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8" fillId="2" borderId="4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8" fillId="2" borderId="2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8" fillId="2" borderId="2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4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7" fillId="3" borderId="16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35" fillId="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19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19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7" fillId="3" borderId="1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35" fillId="0" borderId="3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7" fillId="4" borderId="16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35" fillId="4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" fontId="35" fillId="20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" fontId="35" fillId="20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4" fontId="37" fillId="4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3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20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8" fillId="2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5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8" fillId="2" borderId="4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38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" fontId="38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4" fontId="38" fillId="2" borderId="2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4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8" fillId="3" borderId="1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5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48" fillId="4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2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8" fillId="2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8" fillId="2" borderId="4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1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165" fontId="37" fillId="3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" fontId="35" fillId="1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44" fontId="37" fillId="28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8" fillId="2" borderId="4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4" fontId="38" fillId="2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1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37" fillId="3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49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3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5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4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9" fillId="2" borderId="4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3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3" borderId="5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4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2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50" fillId="3" borderId="3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1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4" fontId="50" fillId="4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10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8" fillId="5" borderId="2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5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0" borderId="5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48" fillId="6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8" fillId="2" borderId="1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8" fillId="2" borderId="2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8" fillId="2" borderId="5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7" fillId="5" borderId="16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35" fillId="5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21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21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7" fillId="5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7" fillId="6" borderId="16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35" fillId="6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" fontId="35" fillId="22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" fontId="35" fillId="2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4" fontId="37" fillId="6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5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22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4" fontId="38" fillId="2" borderId="1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5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8" fillId="5" borderId="1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48" fillId="6" borderId="2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5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8" fillId="2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4" fontId="37" fillId="12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5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49" fillId="2" borderId="3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0" borderId="3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35" fillId="6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9" fillId="2" borderId="3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4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3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50" fillId="5" borderId="3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4" fontId="50" fillId="6" borderId="3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28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8" fillId="7" borderId="2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7" fillId="7" borderId="16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35" fillId="7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2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5" fillId="2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7" fillId="7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37" fillId="7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8" fillId="7" borderId="1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5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4" fontId="37" fillId="7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7" borderId="3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4" fontId="50" fillId="7" borderId="3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51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1"/>
    </x:xf>
    <x:xf numFmtId="0" fontId="3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1"/>
    </x:xf>
    <x:xf numFmtId="2" fontId="35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0" fontId="37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37" fillId="0" borderId="29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0" fontId="35" fillId="0" borderId="2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1"/>
    </x:xf>
    <x:xf numFmtId="0" fontId="35" fillId="0" borderId="5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1"/>
    </x:xf>
    <x:xf numFmtId="0" fontId="37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0" fontId="37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0" fontId="37" fillId="0" borderId="46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5" fillId="0" borderId="25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5" fillId="0" borderId="30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35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44" fontId="35" fillId="0" borderId="30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35" fillId="0" borderId="26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0" fontId="37" fillId="0" borderId="16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5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5" fillId="0" borderId="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3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44" fontId="35" fillId="0" borderId="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35" fillId="0" borderId="15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5" fillId="18" borderId="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0" fontId="37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5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5" fillId="18" borderId="2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35" fillId="0" borderId="24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44" fontId="35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0" fontId="37" fillId="0" borderId="3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37" fillId="0" borderId="3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37" fillId="0" borderId="3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0" fontId="37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1"/>
    </x:xf>
    <x:xf numFmtId="2" fontId="37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165" fontId="37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44" fontId="37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1"/>
    </x:xf>
    <x:xf numFmtId="165" fontId="3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1"/>
    </x:xf>
    <x:xf numFmtId="165" fontId="37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0" fontId="37" fillId="0" borderId="34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1"/>
    </x:xf>
    <x:xf numFmtId="2" fontId="37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35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2" fontId="37" fillId="0" borderId="16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2" fontId="37" fillId="0" borderId="45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0" fontId="48" fillId="0" borderId="3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165" fontId="48" fillId="0" borderId="3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44" fontId="48" fillId="0" borderId="3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2" fontId="48" fillId="0" borderId="3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1"/>
    </x:xf>
    <x:xf numFmtId="0" fontId="37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1"/>
    </x:xf>
    <x:xf numFmtId="0" fontId="35" fillId="0" borderId="3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1"/>
    </x:xf>
    <x:xf numFmtId="44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44" fontId="48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5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8" fillId="10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8" fillId="10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5" fillId="1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5" fillId="1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5" fillId="11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4" fontId="42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1" fontId="3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1"/>
    </x:xf>
    <x:xf numFmtId="0" fontId="46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3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3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" fontId="35" fillId="1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6" fillId="1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6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4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54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4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45" fillId="1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5" fillId="1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6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5" fillId="0" borderId="0" xfId="0" applyNumberFormat="1" applyFill="1" applyBorder="0" applyAlignment="1" applyProtection="1">
      <x:alignment horizontal="left" vertical="top" textRotation="0" wrapText="1" indent="2" relativeIndent="0" justifyLastLine="0" shrinkToFit="0" readingOrder="0"/>
      <x:protection locked="0" hidden="0"/>
    </x:xf>
    <x:xf numFmtId="165" fontId="45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4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5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4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56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45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45" fillId="0" borderId="50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56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45" fillId="0" borderId="0" xfId="0" applyNumberFormat="1" applyFill="1" applyBorder="0" applyAlignment="1" applyProtection="1">
      <x:alignment horizontal="left" vertical="top" textRotation="0" wrapText="1" indent="8" relativeIndent="0" justifyLastLine="0" shrinkToFit="0" readingOrder="0"/>
      <x:protection locked="0" hidden="0"/>
    </x:xf>
    <x:xf numFmtId="0" fontId="45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45" fillId="0" borderId="0" xfId="0" applyNumberFormat="1" applyFill="1" applyBorder="0" applyAlignment="1" applyProtection="1">
      <x:alignment horizontal="left" vertical="top" textRotation="0" wrapText="1" indent="4" relativeIndent="0" justifyLastLine="0" shrinkToFit="0" readingOrder="0"/>
      <x:protection locked="0" hidden="0"/>
    </x:xf>
    <x:xf numFmtId="0" fontId="56" fillId="0" borderId="0" xfId="0" applyNumberFormat="1" applyFill="1" applyBorder="0" applyAlignment="1" applyProtection="1">
      <x:alignment horizontal="left" vertical="top" textRotation="0" wrapText="1" indent="4" relativeIndent="0" justifyLastLine="0" shrinkToFit="0" readingOrder="0"/>
      <x:protection locked="0" hidden="0"/>
    </x:xf>
    <x:xf numFmtId="0" fontId="45" fillId="0" borderId="2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54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" fontId="54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5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2" fontId="45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54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5" fontId="54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2" fontId="45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54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2" fontId="5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4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5" fillId="1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57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57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4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45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54" fillId="6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4" fillId="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8" fillId="0" borderId="0" xfId="0" applyNumberFormat="1" applyFill="1" applyBorder="0" applyAlignment="1" applyProtection="1">
      <x:alignment horizontal="left" vertical="top" textRotation="0" wrapText="0" indent="8" relativeIndent="0" justifyLastLine="0" shrinkToFit="0" readingOrder="0"/>
      <x:protection locked="1" hidden="0"/>
    </x:xf>
    <x:xf numFmtId="0" fontId="46" fillId="0" borderId="0" xfId="0" applyNumberFormat="1" applyFill="1" applyBorder="0" applyAlignment="1" applyProtection="1">
      <x:alignment horizontal="left" vertical="top" textRotation="0" wrapText="0" indent="4" relativeIndent="0" justifyLastLine="0" shrinkToFit="0" readingOrder="0"/>
      <x:protection locked="1" hidden="0"/>
    </x:xf>
    <x:xf numFmtId="0" fontId="5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6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3">
    <x:cellStyle name="Followed Hyperlink" xfId="2" builtinId="9" hidden="1"/>
    <x:cellStyle name="Hyperlink" xfId="1" builtinId="8" hidden="1"/>
    <x:cellStyle name="Normal" xfId="0" builtinId="0"/>
  </x:cellStyles>
  <x:dxfs count="6">
    <x:dxf>
      <x:font>
        <x:sz val="12"/>
        <x:color theme="1"/>
        <x:name val="Arial"/>
        <x:scheme val="minor"/>
      </x:font>
      <x:border>
        <x:left style="medium">
          <x:color indexed="64"/>
        </x:left>
      </x:border>
    </x:dxf>
    <x:dxf>
      <x:font>
        <x:sz val="12"/>
        <x:color theme="1"/>
        <x:name val="Arial"/>
        <x:scheme val="minor"/>
      </x:font>
      <x:numFmt numFmtId="164" formatCode="&quot;$&quot;#,##0.00"/>
      <x:border>
        <x:right style="medium">
          <x:color indexed="64"/>
        </x:right>
      </x:border>
    </x:dxf>
    <x:dxf>
      <x:font>
        <x:b/>
      </x:font>
      <x:fill>
        <x:patternFill patternType="solid">
          <x:fgColor auto="1"/>
          <x:bgColor rgb="FFFF0000"/>
        </x:patternFill>
      </x:fill>
    </x:dxf>
    <x:dxf>
      <x:font>
        <x:b/>
      </x:font>
      <x:fill>
        <x:patternFill patternType="solid">
          <x:fgColor auto="1"/>
          <x:bgColor rgb="FFFFFF00"/>
        </x:patternFill>
      </x:fill>
    </x:dxf>
    <x:dxf>
      <x:font>
        <x:b/>
      </x:font>
      <x:fill>
        <x:patternFill patternType="solid">
          <x:fgColor auto="1"/>
          <x:bgColor rgb="FF00B05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1" defaultTableStyle="TableStyleMedium9" defaultPivotStyle="PivotStyleMedium7">
    <x:tableStyle name="Invisible" pivot="0" table="0" count="0" xr9:uid="{00000000-0011-0000-FFFF-FFFF00000000}"/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0</xdr:row>
      <xdr:rowOff>0</xdr:rowOff>
    </xdr:from>
    <xdr:ext cx="752475" cy="666750"/>
    <xdr:pic>
      <xdr:nvPicPr>
        <xdr:cNvPr id="1" name="US Signal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752475" cy="6667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5" displayName="Table5" ref="M6:N13" headerRowCount="0" totalsRowShown="0">
  <x:tableColumns count="2">
    <x:tableColumn id="1" name="Current Rate Table" dataDxfId="0"/>
    <x:tableColumn id="2" name="Column1" dataDxfId="1"/>
  </x:tableColumns>
  <x:tableStyleInfo name="TableStyleLight13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Id3" /><Relationship Type="http://schemas.openxmlformats.org/officeDocument/2006/relationships/table" Target="../tables/table1.xml" Id="rId2" /><Relationship Type="http://schemas.openxmlformats.org/officeDocument/2006/relationships/vmlDrawing" Target="../drawings/vmlDrawing1.vml" Id="rId1" /><Relationship Type="http://schemas.openxmlformats.org/officeDocument/2006/relationships/drawing" Target="/xl/drawings/drawing1.xml" Id="rId17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outlinePr summaryBelow="1" summaryRight="1"/>
    <x:pageSetUpPr fitToPage="1"/>
  </x:sheetPr>
  <x:dimension ref="A1:AE67"/>
  <x:sheetViews>
    <x:sheetView tabSelected="1" workbookViewId="0">
      <x:selection activeCell="C13" sqref="C13"/>
    </x:sheetView>
  </x:sheetViews>
  <x:sheetFormatPr baseColWidth="10" defaultColWidth="10.932847" defaultRowHeight="16" x14ac:dyDescent="0.2"/>
  <x:cols>
    <x:col min="35" max="16384" width="10.932847" style="429" customWidth="1"/>
    <x:col min="1" max="1" width="4.164062" style="429" customWidth="1"/>
    <x:col min="2" max="2" width="30.710625" style="429" bestFit="1" customWidth="1"/>
    <x:col min="3" max="3" width="42.710625" style="429" customWidth="1"/>
    <x:col min="4" max="4" width="4.164062" style="429" customWidth="1"/>
    <x:col min="5" max="5" width="33.832031" style="429" bestFit="1" customWidth="1"/>
    <x:col min="6" max="6" width="10.960625" style="429" customWidth="1"/>
    <x:col min="7" max="7" width="15" style="429" customWidth="1"/>
    <x:col min="8" max="8" width="4.164062" style="429" customWidth="1"/>
    <x:col min="9" max="9" width="22.332031" style="429" bestFit="1" customWidth="1"/>
    <x:col min="10" max="10" width="12.5" style="429" customWidth="1"/>
    <x:col min="11" max="11" width="10.960625" style="429" customWidth="1"/>
    <x:col min="12" max="12" width="4.164062" style="429" customWidth="1"/>
    <x:col min="13" max="13" width="14" style="429" customWidth="1"/>
    <x:col min="14" max="14" width="17.164062" style="429" customWidth="1"/>
    <x:col min="15" max="15" width="10.960625" style="429" customWidth="1"/>
    <x:col min="16" max="16" width="4.164062" style="429" customWidth="1"/>
    <x:col min="17" max="17" width="17.332031" style="429" customWidth="1"/>
    <x:col min="18" max="20" width="10.960625" style="429" customWidth="1"/>
    <x:col min="21" max="21" width="10.832031" style="429" customWidth="1"/>
    <x:col min="22" max="22" width="18.5" style="429" hidden="1" customWidth="1"/>
    <x:col min="23" max="23" width="10.832031" style="429" hidden="1" customWidth="1"/>
    <x:col min="24" max="24" width="12.332031" style="429" hidden="1" customWidth="1"/>
    <x:col min="25" max="25" width="22.5" style="429" hidden="1" customWidth="1"/>
    <x:col min="26" max="27" width="10.832031" style="429" customWidth="1"/>
    <x:col min="28" max="28" width="13.164062" style="429" customWidth="1"/>
    <x:col min="29" max="33" width="10.832031" style="429" customWidth="1"/>
    <x:col min="34" max="34" width="25.332031" style="429" bestFit="1" customWidth="1"/>
  </x:cols>
  <x:sheetData>
    <x:row r="1" spans="1:34" ht="16" customHeight="1" x14ac:dyDescent="0.2">
      <x:c r="A1" s="430"/>
      <x:c r="B1" s="431"/>
      <x:c r="D1" s="431"/>
      <x:c r="E1" s="431" t="s">
        <x:v>0</x:v>
      </x:c>
      <x:c r="L1" s="431"/>
      <x:c r="M1" s="432" t="s">
        <x:v>138</x:v>
      </x:c>
      <x:c r="O1" s="433"/>
      <x:c r="P1" s="433"/>
      <x:c r="Q1" s="433"/>
      <x:c r="R1" s="433"/>
      <x:c r="S1" s="433"/>
      <x:c r="T1" s="433"/>
      <x:c r="AE1" s="434" t="s">
        <x:v>2</x:v>
      </x:c>
    </x:row>
    <x:row r="2" spans="1:34" ht="16" customHeight="1" x14ac:dyDescent="0.2">
      <x:c r="O2" s="433"/>
      <x:c r="P2" s="433"/>
      <x:c r="Q2" s="433"/>
      <x:c r="R2" s="433"/>
      <x:c r="S2" s="433"/>
      <x:c r="T2" s="433"/>
      <x:c r="Y2" s="435"/>
    </x:row>
    <x:row r="3" spans="1:34" ht="16.5" customHeight="1" x14ac:dyDescent="0.25">
      <x:c r="M3" s="436"/>
      <x:c r="N3" s="436"/>
      <x:c r="O3" s="433"/>
      <x:c r="P3" s="433"/>
      <x:c r="AD3" s="437"/>
    </x:row>
    <x:row r="4" spans="1:34" ht="24" customHeight="1" x14ac:dyDescent="0.2">
      <x:c r="B4" s="438" t="s">
        <x:v>3</x:v>
      </x:c>
      <x:c r="C4" s="439"/>
      <x:c r="E4" s="440" t="s">
        <x:v>4</x:v>
      </x:c>
      <x:c r="F4" s="441">
        <x:f>IF(COUNT('Totals Sheet'!C15:C19)=5,SUM('Totals Sheet'!C15:C19),"")</x:f>
        <x:v>70</x:v>
      </x:c>
      <x:c r="G4" s="442"/>
      <x:c r="H4" s="443"/>
      <x:c r="I4" s="444" t="s">
        <x:v>5</x:v>
      </x:c>
      <x:c r="J4" s="445"/>
      <x:c r="K4" s="446"/>
      <x:c r="M4" s="447" t="s">
        <x:v>16</x:v>
      </x:c>
      <x:c r="N4" s="448"/>
      <x:c r="P4" s="433"/>
      <x:c r="V4" s="429" t="s">
        <x:v>7</x:v>
      </x:c>
      <x:c r="W4" s="449"/>
      <x:c r="X4" s="429" t="s">
        <x:v>8</x:v>
      </x:c>
      <x:c r="Y4" s="449"/>
      <x:c r="AD4" s="437"/>
    </x:row>
    <x:row r="5" spans="1:34" ht="24" customHeight="1" x14ac:dyDescent="0.2">
      <x:c r="B5" s="438" t="s">
        <x:v>9</x:v>
      </x:c>
      <x:c r="C5" s="450"/>
      <x:c r="E5" s="451"/>
      <x:c r="F5" s="452"/>
      <x:c r="G5" s="453"/>
      <x:c r="H5" s="454"/>
      <x:c r="I5" s="455"/>
      <x:c r="K5" s="454"/>
      <x:c r="M5" s="456"/>
      <x:c r="N5" s="457"/>
      <x:c r="P5" s="433"/>
      <x:c r="V5" s="429" t="s">
        <x:v>10</x:v>
      </x:c>
      <x:c r="W5" s="449"/>
      <x:c r="X5" s="429" t="s">
        <x:v>11</x:v>
      </x:c>
      <x:c r="Y5" s="449"/>
      <x:c r="AD5" s="437"/>
    </x:row>
    <x:row r="6" spans="1:34" ht="24" customHeight="1" x14ac:dyDescent="0.25">
      <x:c r="B6" s="438" t="s">
        <x:v>12</x:v>
      </x:c>
      <x:c r="C6" s="458"/>
      <x:c r="E6" s="459"/>
      <x:c r="F6" s="460"/>
      <x:c r="G6" s="461"/>
      <x:c r="H6" s="454"/>
      <x:c r="I6" s="455"/>
      <x:c r="K6" s="454"/>
      <x:c r="M6" s="462" t="str">
        <x:f>V4</x:f>
        <x:v>BA/Dev/Arch</x:v>
      </x:c>
      <x:c r="N6" s="463" t="s">
        <x:v>6</x:v>
      </x:c>
      <x:c r="P6" s="433"/>
      <x:c r="V6" s="429" t="s">
        <x:v>13</x:v>
      </x:c>
      <x:c r="W6" s="449"/>
      <x:c r="X6" s="429" t="s">
        <x:v>14</x:v>
      </x:c>
      <x:c r="Y6" s="449"/>
      <x:c r="AD6" s="449"/>
    </x:row>
    <x:row r="7" spans="1:34" ht="24" customHeight="1" x14ac:dyDescent="0.2">
      <x:c r="B7" s="438" t="s">
        <x:v>15</x:v>
      </x:c>
      <x:c r="C7" s="464"/>
      <x:c r="E7" s="465" t="s">
        <x:v>46</x:v>
      </x:c>
      <x:c r="F7" s="466">
        <x:f>IF(ISNUMBER(F4),F4,"")</x:f>
        <x:v>70</x:v>
      </x:c>
      <x:c r="G7" s="442"/>
      <x:c r="H7" s="454"/>
      <x:c r="I7" s="455"/>
      <x:c r="K7" s="454"/>
      <x:c r="M7" s="462" t="str">
        <x:f>V5</x:f>
        <x:v>SME</x:v>
      </x:c>
      <x:c r="N7" s="463"/>
      <x:c r="P7" s="433"/>
      <x:c r="V7" s="429" t="s">
        <x:v>17</x:v>
      </x:c>
      <x:c r="W7" s="449"/>
      <x:c r="X7" s="429" t="s">
        <x:v>18</x:v>
      </x:c>
      <x:c r="Y7" s="449"/>
    </x:row>
    <x:row r="8" spans="1:34" ht="24" customHeight="1" x14ac:dyDescent="0.25">
      <x:c r="B8" s="438" t="s">
        <x:v>19</x:v>
      </x:c>
      <x:c r="C8" s="467"/>
      <x:c r="E8" s="468"/>
      <x:c r="F8" s="460"/>
      <x:c r="G8" s="461"/>
      <x:c r="H8" s="454"/>
      <x:c r="I8" s="455"/>
      <x:c r="K8" s="454"/>
      <x:c r="M8" s="462" t="str">
        <x:f>V6</x:f>
        <x:v>Consulting Eng</x:v>
      </x:c>
      <x:c r="N8" s="463"/>
      <x:c r="P8" s="433"/>
    </x:row>
    <x:row r="9" spans="1:34" ht="24" customHeight="1" x14ac:dyDescent="0.2">
      <x:c r="B9" s="438" t="s">
        <x:v>20</x:v>
      </x:c>
      <x:c r="C9" s="469"/>
      <x:c r="E9" s="470" t="s">
        <x:v>21</x:v>
      </x:c>
      <x:c r="F9" s="471"/>
      <x:c r="G9" s="442"/>
      <x:c r="H9" s="454"/>
      <x:c r="I9" s="455"/>
      <x:c r="K9" s="454"/>
      <x:c r="M9" s="462" t="str">
        <x:f>V7</x:f>
        <x:v>Associate Eng</x:v>
      </x:c>
      <x:c r="N9" s="463"/>
      <x:c r="P9" s="433"/>
    </x:row>
    <x:row r="10" spans="1:34" ht="24" customHeight="1" x14ac:dyDescent="0.25">
      <x:c r="B10" s="438" t="s">
        <x:v>22</x:v>
      </x:c>
      <x:c r="C10" s="472"/>
      <x:c r="E10" s="459"/>
      <x:c r="F10" s="460"/>
      <x:c r="G10" s="461"/>
      <x:c r="H10" s="454"/>
      <x:c r="I10" s="455"/>
      <x:c r="K10" s="454"/>
      <x:c r="M10" s="462" t="str">
        <x:f>X4</x:f>
        <x:v>PMgr</x:v>
      </x:c>
      <x:c r="N10" s="463"/>
      <x:c r="P10" s="433"/>
      <x:c r="V10" s="429" t="s">
        <x:v>23</x:v>
      </x:c>
    </x:row>
    <x:row r="11" spans="1:34" ht="30" customHeight="1" x14ac:dyDescent="0.2">
      <x:c r="B11" s="438" t="s">
        <x:v>24</x:v>
      </x:c>
      <x:c r="C11" s="472" t="s">
        <x:v>132</x:v>
      </x:c>
      <x:c r="E11" s="473" t="s">
        <x:v>25</x:v>
      </x:c>
      <x:c r="F11" s="474"/>
      <x:c r="G11" s="442"/>
      <x:c r="H11" s="454"/>
      <x:c r="I11" s="455"/>
      <x:c r="K11" s="454"/>
      <x:c r="M11" s="462" t="str">
        <x:f>X5</x:f>
        <x:v>PCoord</x:v>
      </x:c>
      <x:c r="N11" s="463"/>
      <x:c r="P11" s="433"/>
      <x:c r="V11" s="429" t="s">
        <x:v>26</x:v>
      </x:c>
    </x:row>
    <x:row r="12" spans="1:34" ht="30" customHeight="1" x14ac:dyDescent="0.25">
      <x:c r="B12" s="438" t="s">
        <x:v>27</x:v>
      </x:c>
      <x:c r="C12" s="472" t="s">
        <x:v>133</x:v>
      </x:c>
      <x:c r="E12" s="459"/>
      <x:c r="F12" s="460"/>
      <x:c r="G12" s="461"/>
      <x:c r="H12" s="454"/>
      <x:c r="I12" s="455"/>
      <x:c r="K12" s="454"/>
      <x:c r="M12" s="462" t="str">
        <x:f>X6</x:f>
        <x:v>PSched</x:v>
      </x:c>
      <x:c r="N12" s="463"/>
      <x:c r="P12" s="433"/>
      <x:c r="AB12" s="475"/>
    </x:row>
    <x:row r="13" spans="1:34" ht="30" customHeight="1" x14ac:dyDescent="0.2">
      <x:c r="B13" s="438" t="s">
        <x:v>28</x:v>
      </x:c>
      <x:c r="C13" s="472" t="s">
        <x:v>23</x:v>
      </x:c>
      <x:c r="E13" s="476" t="s">
        <x:v>29</x:v>
      </x:c>
      <x:c r="F13" s="477"/>
      <x:c r="G13" s="442"/>
      <x:c r="H13" s="454"/>
      <x:c r="I13" s="455"/>
      <x:c r="K13" s="454"/>
      <x:c r="M13" s="462" t="str">
        <x:f>X7</x:f>
        <x:v>Travel</x:v>
      </x:c>
      <x:c r="N13" s="463"/>
      <x:c r="P13" s="433"/>
      <x:c r="AC13" s="478"/>
    </x:row>
    <x:row r="14" spans="1:34" ht="30" customHeight="1" x14ac:dyDescent="0.25">
      <x:c r="B14" s="438" t="s">
        <x:v>30</x:v>
      </x:c>
      <x:c r="C14" s="472" t="s">
        <x:v>134</x:v>
      </x:c>
      <x:c r="E14" s="459"/>
      <x:c r="F14" s="460"/>
      <x:c r="G14" s="461"/>
      <x:c r="H14" s="454"/>
      <x:c r="I14" s="455"/>
      <x:c r="K14" s="454"/>
      <x:c r="M14" s="479" t="s">
        <x:v>52</x:v>
      </x:c>
      <x:c r="N14" s="480"/>
      <x:c r="P14" s="433"/>
      <x:c r="AD14" s="481"/>
    </x:row>
    <x:row r="15" spans="1:34" ht="30" customHeight="1" x14ac:dyDescent="0.2">
      <x:c r="B15" s="438" t="s">
        <x:v>32</x:v>
      </x:c>
      <x:c r="C15" s="472" t="s">
        <x:v>135</x:v>
      </x:c>
      <x:c r="E15" s="482" t="s">
        <x:v>33</x:v>
      </x:c>
      <x:c r="F15" s="483"/>
      <x:c r="G15" s="442"/>
      <x:c r="H15" s="454"/>
      <x:c r="I15" s="455"/>
      <x:c r="K15" s="454"/>
      <x:c r="P15" s="433"/>
      <x:c r="Q15" s="484"/>
      <x:c r="V15" s="429" t="s">
        <x:v>34</x:v>
      </x:c>
      <x:c r="AD15" s="437"/>
    </x:row>
    <x:row r="16" spans="1:34" ht="30" customHeight="1" x14ac:dyDescent="0.2">
      <x:c r="B16" s="438" t="s">
        <x:v>35</x:v>
      </x:c>
      <x:c r="C16" s="472" t="s">
        <x:v>136</x:v>
      </x:c>
      <x:c r="E16" s="451"/>
      <x:c r="F16" s="452"/>
      <x:c r="G16" s="453"/>
      <x:c r="H16" s="454"/>
      <x:c r="I16" s="455"/>
      <x:c r="K16" s="454"/>
      <x:c r="P16" s="433"/>
      <x:c r="Q16" s="484"/>
      <x:c r="V16" s="429" t="s">
        <x:v>7</x:v>
      </x:c>
      <x:c r="W16" s="449"/>
      <x:c r="AD16" s="437"/>
    </x:row>
    <x:row r="17" spans="1:34" ht="24" customHeight="1" x14ac:dyDescent="0.25">
      <x:c r="B17" s="438" t="s">
        <x:v>36</x:v>
      </x:c>
      <x:c r="C17" s="472"/>
      <x:c r="E17" s="459"/>
      <x:c r="F17" s="460"/>
      <x:c r="G17" s="461"/>
      <x:c r="H17" s="454"/>
      <x:c r="I17" s="455"/>
      <x:c r="K17" s="454"/>
      <x:c r="P17" s="433"/>
      <x:c r="Q17" s="475"/>
      <x:c r="V17" s="429" t="s">
        <x:v>10</x:v>
      </x:c>
      <x:c r="W17" s="449"/>
      <x:c r="AD17" s="437"/>
    </x:row>
    <x:row r="18" spans="1:34" ht="24" customHeight="1" x14ac:dyDescent="0.25">
      <x:c r="B18" s="438" t="s">
        <x:v>37</x:v>
      </x:c>
      <x:c r="C18" s="485"/>
      <x:c r="E18" s="486"/>
      <x:c r="F18" s="487"/>
      <x:c r="G18" s="487"/>
      <x:c r="H18" s="454"/>
      <x:c r="I18" s="455"/>
      <x:c r="K18" s="454"/>
      <x:c r="P18" s="433"/>
      <x:c r="Q18" s="488"/>
      <x:c r="V18" s="429" t="s">
        <x:v>13</x:v>
      </x:c>
      <x:c r="W18" s="449"/>
      <x:c r="AC18" s="449"/>
      <x:c r="AD18" s="449"/>
    </x:row>
    <x:row r="19" spans="1:34" ht="24" customHeight="1" x14ac:dyDescent="0.2">
      <x:c r="B19" s="438" t="s">
        <x:v>38</x:v>
      </x:c>
      <x:c r="C19" s="485"/>
      <x:c r="E19" s="489" t="s">
        <x:v>39</x:v>
      </x:c>
      <x:c r="F19" s="490"/>
      <x:c r="G19" s="491"/>
      <x:c r="H19" s="454"/>
      <x:c r="I19" s="455"/>
      <x:c r="K19" s="454"/>
      <x:c r="P19" s="433"/>
      <x:c r="Q19" s="484"/>
      <x:c r="V19" s="429" t="s">
        <x:v>17</x:v>
      </x:c>
      <x:c r="W19" s="449"/>
    </x:row>
    <x:row r="20" spans="1:34" ht="24" customHeight="1" x14ac:dyDescent="0.2">
      <x:c r="B20" s="438" t="s">
        <x:v>40</x:v>
      </x:c>
      <x:c r="C20" s="485"/>
      <x:c r="E20" s="492" t="s">
        <x:v>41</x:v>
      </x:c>
      <x:c r="F20" s="493"/>
      <x:c r="G20" s="494"/>
      <x:c r="H20" s="454"/>
      <x:c r="I20" s="455"/>
      <x:c r="K20" s="454"/>
      <x:c r="P20" s="433"/>
      <x:c r="Q20" s="484"/>
    </x:row>
    <x:row r="21" spans="1:34" ht="24" customHeight="1" x14ac:dyDescent="0.25">
      <x:c r="B21" s="495" t="s">
        <x:v>42</x:v>
      </x:c>
      <x:c r="C21" s="496"/>
      <x:c r="E21" s="492" t="s">
        <x:v>43</x:v>
      </x:c>
      <x:c r="F21" s="493"/>
      <x:c r="G21" s="494"/>
      <x:c r="H21" s="454"/>
      <x:c r="I21" s="455"/>
      <x:c r="K21" s="454"/>
      <x:c r="P21" s="433"/>
      <x:c r="Q21" s="484"/>
    </x:row>
    <x:row r="22" spans="1:34" ht="15.75" customHeight="1" x14ac:dyDescent="0.25">
      <x:c r="B22" s="430"/>
      <x:c r="E22" s="492" t="s">
        <x:v>44</x:v>
      </x:c>
      <x:c r="F22" s="493"/>
      <x:c r="G22" s="494"/>
      <x:c r="H22" s="454"/>
      <x:c r="I22" s="455"/>
      <x:c r="K22" s="454"/>
      <x:c r="P22" s="433"/>
      <x:c r="Q22" s="475"/>
      <x:c r="V22" s="429" t="s">
        <x:v>45</x:v>
      </x:c>
    </x:row>
    <x:row r="23" spans="1:34" ht="16" customHeight="1" x14ac:dyDescent="0.2">
      <x:c r="B23" s="497" t="s">
        <x:v>1</x:v>
      </x:c>
      <x:c r="C23" s="498"/>
      <x:c r="E23" s="492" t="s">
        <x:v>47</x:v>
      </x:c>
      <x:c r="F23" s="493"/>
      <x:c r="G23" s="494"/>
      <x:c r="H23" s="454"/>
      <x:c r="I23" s="455"/>
      <x:c r="K23" s="454"/>
      <x:c r="P23" s="433"/>
      <x:c r="Q23" s="488"/>
      <x:c r="V23" s="429" t="s">
        <x:v>48</x:v>
      </x:c>
    </x:row>
    <x:row r="24" spans="1:34" ht="16" customHeight="1" x14ac:dyDescent="0.2">
      <x:c r="B24" s="499" t="s">
        <x:v>137</x:v>
      </x:c>
      <x:c r="C24" s="500"/>
      <x:c r="E24" s="492" t="s">
        <x:v>49</x:v>
      </x:c>
      <x:c r="F24" s="493"/>
      <x:c r="G24" s="501"/>
      <x:c r="H24" s="454"/>
      <x:c r="I24" s="455"/>
      <x:c r="K24" s="454"/>
      <x:c r="P24" s="433"/>
      <x:c r="Q24" s="502"/>
      <x:c r="V24" s="429" t="s">
        <x:v>50</x:v>
      </x:c>
    </x:row>
    <x:row r="25" spans="1:34" ht="16" customHeight="1" x14ac:dyDescent="0.25">
      <x:c r="B25" s="503"/>
      <x:c r="C25" s="500"/>
      <x:c r="E25" s="504" t="s">
        <x:v>51</x:v>
      </x:c>
      <x:c r="F25" s="505"/>
      <x:c r="G25" s="506"/>
      <x:c r="H25" s="454"/>
      <x:c r="I25" s="455"/>
      <x:c r="K25" s="454"/>
      <x:c r="P25" s="433"/>
      <x:c r="Q25" s="502"/>
    </x:row>
    <x:row r="26" spans="1:34" ht="16" customHeight="1" x14ac:dyDescent="0.2">
      <x:c r="B26" s="503"/>
      <x:c r="C26" s="500"/>
      <x:c r="H26" s="454"/>
      <x:c r="I26" s="455"/>
      <x:c r="K26" s="454"/>
      <x:c r="P26" s="433"/>
      <x:c r="Q26" s="502"/>
    </x:row>
    <x:row r="27" spans="1:34" ht="16" customHeight="1" x14ac:dyDescent="0.2">
      <x:c r="B27" s="503"/>
      <x:c r="C27" s="500"/>
      <x:c r="H27" s="454"/>
      <x:c r="I27" s="455"/>
      <x:c r="K27" s="454"/>
      <x:c r="P27" s="433"/>
      <x:c r="Q27" s="475"/>
    </x:row>
    <x:row r="28" spans="1:34" ht="16" customHeight="1" x14ac:dyDescent="0.2">
      <x:c r="B28" s="503"/>
      <x:c r="C28" s="500"/>
      <x:c r="H28" s="454"/>
      <x:c r="I28" s="455"/>
      <x:c r="K28" s="454"/>
      <x:c r="P28" s="433"/>
      <x:c r="Q28" s="488"/>
    </x:row>
    <x:row r="29" spans="1:34" ht="16" customHeight="1" x14ac:dyDescent="0.2">
      <x:c r="B29" s="503"/>
      <x:c r="C29" s="500"/>
      <x:c r="H29" s="454"/>
      <x:c r="I29" s="455"/>
      <x:c r="K29" s="454"/>
      <x:c r="P29" s="433"/>
      <x:c r="Q29" s="502"/>
    </x:row>
    <x:row r="30" spans="1:34" ht="16" customHeight="1" x14ac:dyDescent="0.2">
      <x:c r="B30" s="503"/>
      <x:c r="C30" s="500"/>
      <x:c r="H30" s="454"/>
      <x:c r="I30" s="455"/>
      <x:c r="K30" s="454"/>
      <x:c r="P30" s="433"/>
      <x:c r="Q30" s="502"/>
    </x:row>
    <x:row r="31" spans="1:34" ht="16" customHeight="1" x14ac:dyDescent="0.2">
      <x:c r="B31" s="503"/>
      <x:c r="C31" s="500"/>
      <x:c r="H31" s="454"/>
      <x:c r="I31" s="455"/>
      <x:c r="K31" s="454"/>
      <x:c r="P31" s="433"/>
      <x:c r="Q31" s="502"/>
    </x:row>
    <x:row r="32" spans="1:34" ht="16" customHeight="1" x14ac:dyDescent="0.25">
      <x:c r="B32" s="503"/>
      <x:c r="C32" s="500"/>
      <x:c r="H32" s="454"/>
      <x:c r="I32" s="507"/>
      <x:c r="J32" s="508"/>
      <x:c r="K32" s="509"/>
      <x:c r="M32" s="510"/>
      <x:c r="N32" s="510"/>
      <x:c r="O32" s="510"/>
      <x:c r="P32" s="433"/>
      <x:c r="Q32" s="511"/>
    </x:row>
    <x:row r="33" spans="1:34" ht="17" customHeight="1" x14ac:dyDescent="0.2">
      <x:c r="B33" s="503"/>
      <x:c r="C33" s="500"/>
      <x:c r="E33" s="510"/>
      <x:c r="F33" s="510"/>
      <x:c r="G33" s="510"/>
      <x:c r="I33" s="512"/>
      <x:c r="J33" s="512"/>
      <x:c r="K33" s="512"/>
      <x:c r="L33" s="512"/>
      <x:c r="M33" s="512"/>
      <x:c r="N33" s="512"/>
    </x:row>
    <x:row r="34" spans="1:34" ht="17" customHeight="1" x14ac:dyDescent="0.2">
      <x:c r="B34" s="503"/>
      <x:c r="C34" s="500"/>
      <x:c r="I34" s="512"/>
      <x:c r="J34" s="512"/>
      <x:c r="K34" s="512"/>
      <x:c r="L34" s="512"/>
      <x:c r="M34" s="512"/>
      <x:c r="N34" s="512"/>
    </x:row>
    <x:row r="35" spans="1:34" ht="15.75" customHeight="1" x14ac:dyDescent="0.2">
      <x:c r="B35" s="503"/>
      <x:c r="C35" s="500"/>
      <x:c r="R35" s="513"/>
    </x:row>
    <x:row r="36" spans="1:34" ht="16" customHeight="1" x14ac:dyDescent="0.2">
      <x:c r="B36" s="503"/>
      <x:c r="C36" s="500"/>
      <x:c r="R36" s="513"/>
    </x:row>
    <x:row r="37" spans="1:34" x14ac:dyDescent="0.2">
      <x:c r="B37" s="503"/>
      <x:c r="C37" s="500"/>
      <x:c r="R37" s="513"/>
    </x:row>
    <x:row r="38" spans="1:34" ht="17" customHeight="1" x14ac:dyDescent="0.25">
      <x:c r="B38" s="514"/>
      <x:c r="C38" s="515"/>
      <x:c r="R38" s="513"/>
    </x:row>
    <x:row r="39" spans="1:34" x14ac:dyDescent="0.2">
      <x:c r="R39" s="513"/>
    </x:row>
    <x:row r="40" spans="1:34" x14ac:dyDescent="0.2">
      <x:c r="R40" s="513"/>
    </x:row>
    <x:row r="41" spans="1:34" x14ac:dyDescent="0.2">
      <x:c r="R41" s="513"/>
    </x:row>
    <x:row r="42" spans="1:34" x14ac:dyDescent="0.2">
      <x:c r="R42" s="513"/>
    </x:row>
    <x:row r="43" spans="1:34" x14ac:dyDescent="0.2">
      <x:c r="R43" s="513"/>
    </x:row>
    <x:row r="44" spans="1:34" x14ac:dyDescent="0.2">
      <x:c r="R44" s="513"/>
    </x:row>
    <x:row r="45" spans="1:34" x14ac:dyDescent="0.2">
      <x:c r="R45" s="513"/>
    </x:row>
    <x:row r="46" spans="1:34" ht="14" customHeight="1" x14ac:dyDescent="0.2">
      <x:c r="R46" s="513"/>
    </x:row>
    <x:row r="47" spans="1:34" x14ac:dyDescent="0.2">
      <x:c r="R47" s="513"/>
    </x:row>
    <x:row r="48" spans="1:34" x14ac:dyDescent="0.2">
      <x:c r="R48" s="513"/>
    </x:row>
    <x:row r="49" spans="1:34" x14ac:dyDescent="0.2">
      <x:c r="R49" s="513"/>
    </x:row>
    <x:row r="50" spans="1:34" x14ac:dyDescent="0.2">
      <x:c r="R50" s="513"/>
    </x:row>
    <x:row r="66" ht="16" customHeight="1" x14ac:dyDescent="0.2"/>
    <x:row r="67" ht="17" customHeight="1" x14ac:dyDescent="0.2"/>
  </x:sheetData>
  <x:sheetProtection algorithmName="SHA-512" hashValue="+4LaUI0wnprH+I23omXzUClI1Whdl5kzHOgbrhneebz5WrtPxEX4iQUgZYRHiBvuwZir0QIib13nTB7Q23N9Dg==" saltValue="9IHp08SEZRaNj3tL7QvaVg==" spinCount="100000" sheet="1" selectLockedCells="1"/>
  <x:mergeCells count="33">
    <x:mergeCell ref="A1:A36"/>
    <x:mergeCell ref="B1:C3"/>
    <x:mergeCell ref="D1:D36"/>
    <x:mergeCell ref="E1:K3"/>
    <x:mergeCell ref="L1:L32"/>
    <x:mergeCell ref="M1:N3"/>
    <x:mergeCell ref="E4:E6"/>
    <x:mergeCell ref="F4:G6"/>
    <x:mergeCell ref="H4:H32"/>
    <x:mergeCell ref="I4:K32"/>
    <x:mergeCell ref="M4:N5"/>
    <x:mergeCell ref="E7:E8"/>
    <x:mergeCell ref="F7:G8"/>
    <x:mergeCell ref="E9:E10"/>
    <x:mergeCell ref="F9:G10"/>
    <x:mergeCell ref="E11:E12"/>
    <x:mergeCell ref="F11:G12"/>
    <x:mergeCell ref="AB12:AC12"/>
    <x:mergeCell ref="E13:E14"/>
    <x:mergeCell ref="F13:G14"/>
    <x:mergeCell ref="M14:N14"/>
    <x:mergeCell ref="E15:E17"/>
    <x:mergeCell ref="F15:G17"/>
    <x:mergeCell ref="E18:G18"/>
    <x:mergeCell ref="E19:G19"/>
    <x:mergeCell ref="E20:F20"/>
    <x:mergeCell ref="E21:F21"/>
    <x:mergeCell ref="B22:C22"/>
    <x:mergeCell ref="E22:F22"/>
    <x:mergeCell ref="E23:F23"/>
    <x:mergeCell ref="B24:C38"/>
    <x:mergeCell ref="E24:F24"/>
    <x:mergeCell ref="E25:F25"/>
  </x:mergeCells>
  <x:dataValidations count="3">
    <x:dataValidation type="list" errorStyle="stop" operator="between" allowBlank="1" showDropDown="0" showInputMessage="1" showErrorMessage="1" errorTitle="" error="" promptTitle="" prompt="" sqref="C10:C10">
      <x:formula1>$V$22:$V$24</x:formula1>
      <x:formula2/>
    </x:dataValidation>
    <x:dataValidation type="list" errorStyle="stop" operator="between" allowBlank="1" showDropDown="0" showInputMessage="1" showErrorMessage="1" errorTitle="" error="" promptTitle="" prompt="" sqref="C13:C13">
      <x:formula1>$V$10:$V$11</x:formula1>
      <x:formula2/>
    </x:dataValidation>
    <x:dataValidation type="list" errorStyle="stop" operator="between" allowBlank="1" showDropDown="0" showInputMessage="1" showErrorMessage="1" errorTitle="" error="" promptTitle="" prompt="" sqref="C18:C20">
      <x:formula1>"Yes,No"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drawing xmlns:r="http://schemas.openxmlformats.org/officeDocument/2006/relationships" r:id="rId17"/>
  <x:legacyDrawing r:id="rId1"/>
  <x:tableParts count="1">
    <x:tablePart r:id="rId2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0">
    <x:outlinePr summaryBelow="1" summaryRight="1"/>
    <x:pageSetUpPr fitToPage="1"/>
  </x:sheetPr>
  <x:dimension ref="A1:Z123"/>
  <x:sheetViews>
    <x:sheetView workbookViewId="0">
      <x:selection activeCell="C21" sqref="C21"/>
    </x:sheetView>
  </x:sheetViews>
  <x:sheetFormatPr baseColWidth="10" defaultColWidth="10.932847" defaultRowHeight="16" x14ac:dyDescent="0.2"/>
  <x:cols>
    <x:col min="27" max="16384" width="10.932847" style="429" customWidth="1"/>
    <x:col min="1" max="1" width="4.164062" style="429" customWidth="1"/>
    <x:col min="2" max="2" width="13.332031" style="429" bestFit="1" customWidth="1"/>
    <x:col min="3" max="3" width="11.164062" style="429" bestFit="1" customWidth="1"/>
    <x:col min="4" max="4" width="10.332031" style="429" bestFit="1" customWidth="1"/>
    <x:col min="5" max="5" width="11.664062" style="429" customWidth="1"/>
    <x:col min="6" max="6" width="10.164062" style="429" customWidth="1"/>
    <x:col min="7" max="7" width="11.5" style="429" customWidth="1"/>
    <x:col min="8" max="8" width="7.164062" style="429" customWidth="1"/>
    <x:col min="9" max="9" width="14.164062" style="429" customWidth="1"/>
    <x:col min="10" max="10" width="4.164062" style="429" customWidth="1"/>
    <x:col min="11" max="11" width="13.332031" style="429" customWidth="1"/>
    <x:col min="12" max="12" width="11.164062" style="429" customWidth="1"/>
    <x:col min="13" max="13" width="10.332031" style="429" customWidth="1"/>
    <x:col min="14" max="14" width="11.664062" style="429" customWidth="1"/>
    <x:col min="15" max="15" width="10.164062" style="429" customWidth="1"/>
    <x:col min="16" max="16" width="11.5" style="429" customWidth="1"/>
    <x:col min="17" max="17" width="7.164062" style="429" customWidth="1"/>
    <x:col min="18" max="18" width="14.164062" style="429" customWidth="1"/>
    <x:col min="19" max="19" width="4.164062" style="429" customWidth="1"/>
    <x:col min="20" max="25" width="10.960625" style="429" customWidth="1"/>
    <x:col min="26" max="26" width="0" style="429" hidden="1" customWidth="1"/>
  </x:cols>
  <x:sheetData>
    <x:row r="1" spans="1:26" ht="25" customHeight="1" x14ac:dyDescent="0.25">
      <x:c r="A1" s="516"/>
      <x:c r="B1" s="517"/>
      <x:c r="C1" s="518"/>
      <x:c r="D1" s="518"/>
      <x:c r="E1" s="518"/>
      <x:c r="F1" s="518"/>
      <x:c r="G1" s="518"/>
      <x:c r="H1" s="518"/>
      <x:c r="I1" s="518"/>
      <x:c r="J1" s="518"/>
      <x:c r="K1" s="518"/>
      <x:c r="L1" s="518"/>
      <x:c r="M1" s="518"/>
      <x:c r="N1" s="518"/>
      <x:c r="O1" s="518"/>
      <x:c r="P1" s="518"/>
      <x:c r="Q1" s="518"/>
      <x:c r="R1" s="518"/>
      <x:c r="S1" s="430"/>
    </x:row>
    <x:row r="2" spans="1:26" x14ac:dyDescent="0.2">
      <x:c r="A2" s="519"/>
      <x:c r="B2" s="520" t="s">
        <x:v>53</x:v>
      </x:c>
      <x:c r="C2" s="521"/>
      <x:c r="D2" s="521"/>
      <x:c r="E2" s="521"/>
      <x:c r="F2" s="521"/>
      <x:c r="G2" s="521"/>
      <x:c r="H2" s="521"/>
      <x:c r="I2" s="521"/>
      <x:c r="J2" s="521"/>
      <x:c r="K2" s="521"/>
      <x:c r="L2" s="521"/>
      <x:c r="M2" s="521"/>
      <x:c r="N2" s="521"/>
      <x:c r="O2" s="521"/>
      <x:c r="P2" s="521"/>
      <x:c r="Q2" s="521"/>
      <x:c r="R2" s="448"/>
    </x:row>
    <x:row r="3" spans="1:26" x14ac:dyDescent="0.2">
      <x:c r="A3" s="519"/>
      <x:c r="B3" s="456"/>
      <x:c r="C3" s="522"/>
      <x:c r="D3" s="522"/>
      <x:c r="E3" s="522"/>
      <x:c r="F3" s="522"/>
      <x:c r="G3" s="522"/>
      <x:c r="H3" s="522"/>
      <x:c r="I3" s="522"/>
      <x:c r="J3" s="522"/>
      <x:c r="K3" s="522"/>
      <x:c r="L3" s="522"/>
      <x:c r="M3" s="522"/>
      <x:c r="N3" s="522"/>
      <x:c r="O3" s="522"/>
      <x:c r="P3" s="522"/>
      <x:c r="Q3" s="522"/>
      <x:c r="R3" s="457"/>
    </x:row>
    <x:row r="4" spans="1:26" ht="17" customHeight="1" x14ac:dyDescent="0.25">
      <x:c r="A4" s="519"/>
      <x:c r="B4" s="523"/>
      <x:c r="C4" s="524"/>
      <x:c r="D4" s="524"/>
      <x:c r="E4" s="524"/>
      <x:c r="F4" s="524"/>
      <x:c r="G4" s="524"/>
      <x:c r="H4" s="524"/>
      <x:c r="I4" s="524"/>
      <x:c r="J4" s="524"/>
      <x:c r="K4" s="524"/>
      <x:c r="L4" s="524"/>
      <x:c r="M4" s="524"/>
      <x:c r="N4" s="524"/>
      <x:c r="O4" s="524"/>
      <x:c r="P4" s="524"/>
      <x:c r="Q4" s="524"/>
      <x:c r="R4" s="480"/>
    </x:row>
    <x:row r="5" spans="1:26" ht="17" customHeight="1" x14ac:dyDescent="0.25">
      <x:c r="A5" s="519"/>
      <x:c r="B5" s="510"/>
      <x:c r="C5" s="522"/>
      <x:c r="D5" s="522"/>
      <x:c r="E5" s="522"/>
      <x:c r="F5" s="522"/>
      <x:c r="G5" s="522"/>
      <x:c r="H5" s="522"/>
      <x:c r="I5" s="522"/>
      <x:c r="J5" s="522"/>
      <x:c r="K5" s="522"/>
      <x:c r="L5" s="522"/>
      <x:c r="M5" s="522"/>
      <x:c r="N5" s="522"/>
      <x:c r="O5" s="522"/>
      <x:c r="P5" s="522"/>
      <x:c r="Q5" s="522"/>
      <x:c r="R5" s="522"/>
    </x:row>
    <x:row r="6" spans="1:26" ht="20" customHeight="1" x14ac:dyDescent="0.25">
      <x:c r="A6" s="519"/>
      <x:c r="B6" s="525" t="s">
        <x:v>54</x:v>
      </x:c>
      <x:c r="C6" s="526"/>
      <x:c r="D6" s="526"/>
      <x:c r="E6" s="526"/>
      <x:c r="F6" s="526"/>
      <x:c r="G6" s="526"/>
      <x:c r="H6" s="526"/>
      <x:c r="I6" s="527"/>
      <x:c r="J6" s="528"/>
      <x:c r="K6" s="529" t="s">
        <x:v>55</x:v>
      </x:c>
      <x:c r="L6" s="530"/>
      <x:c r="M6" s="530"/>
      <x:c r="N6" s="530"/>
      <x:c r="O6" s="530"/>
      <x:c r="P6" s="530"/>
      <x:c r="Q6" s="530"/>
      <x:c r="R6" s="531"/>
      <x:c r="Z6" s="429" t="s">
        <x:v>56</x:v>
      </x:c>
    </x:row>
    <x:row r="7" spans="1:26" x14ac:dyDescent="0.2">
      <x:c r="A7" s="519"/>
      <x:c r="B7" s="532" t="s">
        <x:v>57</x:v>
      </x:c>
      <x:c r="C7" s="533" t="s">
        <x:v>282</x:v>
      </x:c>
      <x:c r="D7" s="533" t="s">
        <x:v>58</x:v>
      </x:c>
      <x:c r="E7" s="533" t="s">
        <x:v>59</x:v>
      </x:c>
      <x:c r="F7" s="533"/>
      <x:c r="G7" s="533"/>
      <x:c r="H7" s="534" t="s">
        <x:v>60</x:v>
      </x:c>
      <x:c r="I7" s="535"/>
      <x:c r="J7" s="456"/>
      <x:c r="K7" s="536" t="s">
        <x:v>57</x:v>
      </x:c>
      <x:c r="L7" s="537" t="s">
        <x:v>282</x:v>
      </x:c>
      <x:c r="M7" s="537" t="s">
        <x:v>58</x:v>
      </x:c>
      <x:c r="N7" s="537" t="s">
        <x:v>59</x:v>
      </x:c>
      <x:c r="O7" s="537"/>
      <x:c r="P7" s="537"/>
      <x:c r="Q7" s="538" t="s">
        <x:v>60</x:v>
      </x:c>
      <x:c r="R7" s="539"/>
      <x:c r="Z7" s="540"/>
    </x:row>
    <x:row r="8" spans="1:26" x14ac:dyDescent="0.2">
      <x:c r="A8" s="519"/>
      <x:c r="B8" s="541" t="s">
        <x:v>149</x:v>
      </x:c>
      <x:c r="C8" s="542">
        <x:f>IF(ISNUMBER('Plan'!B100),'Plan'!B100,"")</x:f>
        <x:v>12</x:v>
      </x:c>
      <x:c r="D8" s="542"/>
      <x:c r="E8" s="542"/>
      <x:c r="F8" s="543"/>
      <x:c r="G8" s="544"/>
      <x:c r="H8" s="545"/>
      <x:c r="I8" s="546"/>
      <x:c r="J8" s="547"/>
      <x:c r="K8" s="548" t="s">
        <x:v>149</x:v>
      </x:c>
      <x:c r="L8" s="549">
        <x:f>IF(ISNUMBER('Design'!B100),'Design'!B100,"")</x:f>
        <x:v>13</x:v>
      </x:c>
      <x:c r="M8" s="549"/>
      <x:c r="N8" s="549"/>
      <x:c r="O8" s="550"/>
      <x:c r="P8" s="551"/>
      <x:c r="Q8" s="552"/>
      <x:c r="R8" s="553"/>
    </x:row>
    <x:row r="9" spans="1:26" x14ac:dyDescent="0.2">
      <x:c r="A9" s="519"/>
      <x:c r="B9" s="541"/>
      <x:c r="C9" s="542"/>
      <x:c r="D9" s="542"/>
      <x:c r="E9" s="542"/>
      <x:c r="F9" s="543"/>
      <x:c r="G9" s="544"/>
      <x:c r="H9" s="545"/>
      <x:c r="I9" s="546"/>
      <x:c r="J9" s="547"/>
      <x:c r="K9" s="548"/>
      <x:c r="L9" s="549"/>
      <x:c r="M9" s="549"/>
      <x:c r="N9" s="549"/>
      <x:c r="O9" s="550"/>
      <x:c r="P9" s="551"/>
      <x:c r="Q9" s="552"/>
      <x:c r="R9" s="553"/>
      <x:c r="Z9" s="429" t="s">
        <x:v>61</x:v>
      </x:c>
    </x:row>
    <x:row r="10" spans="1:26" x14ac:dyDescent="0.2">
      <x:c r="A10" s="519"/>
      <x:c r="B10" s="541"/>
      <x:c r="C10" s="542"/>
      <x:c r="D10" s="542"/>
      <x:c r="E10" s="542"/>
      <x:c r="F10" s="543"/>
      <x:c r="G10" s="544"/>
      <x:c r="H10" s="545"/>
      <x:c r="I10" s="546"/>
      <x:c r="J10" s="547"/>
      <x:c r="K10" s="548"/>
      <x:c r="L10" s="549"/>
      <x:c r="M10" s="549"/>
      <x:c r="N10" s="549"/>
      <x:c r="O10" s="550"/>
      <x:c r="P10" s="551"/>
      <x:c r="Q10" s="552"/>
      <x:c r="R10" s="553"/>
      <x:c r="Z10" s="540"/>
    </x:row>
    <x:row r="11" spans="1:26" x14ac:dyDescent="0.2">
      <x:c r="A11" s="519"/>
      <x:c r="B11" s="541"/>
      <x:c r="C11" s="542"/>
      <x:c r="D11" s="542"/>
      <x:c r="E11" s="542"/>
      <x:c r="F11" s="543"/>
      <x:c r="G11" s="544"/>
      <x:c r="H11" s="545"/>
      <x:c r="I11" s="546"/>
      <x:c r="J11" s="547"/>
      <x:c r="K11" s="548"/>
      <x:c r="L11" s="549"/>
      <x:c r="M11" s="549"/>
      <x:c r="N11" s="549"/>
      <x:c r="O11" s="550"/>
      <x:c r="P11" s="551"/>
      <x:c r="Q11" s="552"/>
      <x:c r="R11" s="553"/>
    </x:row>
    <x:row r="12" spans="1:26" x14ac:dyDescent="0.2">
      <x:c r="A12" s="519"/>
      <x:c r="B12" s="541" t="s">
        <x:v>49</x:v>
      </x:c>
      <x:c r="C12" s="542"/>
      <x:c r="D12" s="543"/>
      <x:c r="E12" s="543"/>
      <x:c r="F12" s="543"/>
      <x:c r="G12" s="543"/>
      <x:c r="H12" s="545"/>
      <x:c r="I12" s="546"/>
      <x:c r="J12" s="547"/>
      <x:c r="K12" s="548" t="s">
        <x:v>49</x:v>
      </x:c>
      <x:c r="L12" s="549"/>
      <x:c r="M12" s="554"/>
      <x:c r="N12" s="554"/>
      <x:c r="O12" s="550"/>
      <x:c r="P12" s="550"/>
      <x:c r="Q12" s="552"/>
      <x:c r="R12" s="553"/>
    </x:row>
    <x:row r="13" spans="1:26" ht="17" customHeight="1" x14ac:dyDescent="0.25">
      <x:c r="A13" s="519"/>
      <x:c r="B13" s="438" t="s">
        <x:v>62</x:v>
      </x:c>
      <x:c r="C13" s="555">
        <x:f>IF(ISNUMBER('Plan'!B100),'Plan'!B100,"")</x:f>
        <x:v>12</x:v>
      </x:c>
      <x:c r="D13" s="555"/>
      <x:c r="E13" s="555"/>
      <x:c r="F13" s="555"/>
      <x:c r="G13" s="555"/>
      <x:c r="H13" s="555"/>
      <x:c r="I13" s="556"/>
      <x:c r="J13" s="547"/>
      <x:c r="K13" s="557" t="s">
        <x:v>62</x:v>
      </x:c>
      <x:c r="L13" s="558">
        <x:f>IF(ISNUMBER('Design'!B100),'Design'!B100,"")</x:f>
        <x:v>13</x:v>
      </x:c>
      <x:c r="M13" s="558"/>
      <x:c r="N13" s="558"/>
      <x:c r="O13" s="559"/>
      <x:c r="P13" s="559"/>
      <x:c r="Q13" s="560"/>
      <x:c r="R13" s="561"/>
    </x:row>
    <x:row r="14" spans="1:26" ht="20" customHeight="1" x14ac:dyDescent="0.25">
      <x:c r="A14" s="519"/>
      <x:c r="B14" s="562" t="s">
        <x:v>63</x:v>
      </x:c>
      <x:c r="C14" s="563"/>
      <x:c r="D14" s="563"/>
      <x:c r="E14" s="563"/>
      <x:c r="F14" s="563"/>
      <x:c r="G14" s="563"/>
      <x:c r="H14" s="563"/>
      <x:c r="I14" s="556"/>
      <x:c r="J14" s="547"/>
      <x:c r="K14" s="564" t="s">
        <x:v>64</x:v>
      </x:c>
      <x:c r="L14" s="565"/>
      <x:c r="M14" s="565"/>
      <x:c r="N14" s="565"/>
      <x:c r="O14" s="530"/>
      <x:c r="P14" s="530"/>
      <x:c r="Q14" s="530"/>
      <x:c r="R14" s="531"/>
    </x:row>
    <x:row r="15" spans="1:26" x14ac:dyDescent="0.2">
      <x:c r="A15" s="519"/>
      <x:c r="B15" s="532" t="s">
        <x:v>57</x:v>
      </x:c>
      <x:c r="C15" s="555" t="s">
        <x:v>65</x:v>
      </x:c>
      <x:c r="D15" s="555" t="s">
        <x:v>66</x:v>
      </x:c>
      <x:c r="E15" s="555" t="s">
        <x:v>67</x:v>
      </x:c>
      <x:c r="F15" s="555" t="s">
        <x:v>68</x:v>
      </x:c>
      <x:c r="G15" s="555" t="s">
        <x:v>20</x:v>
      </x:c>
      <x:c r="H15" s="566" t="s">
        <x:v>69</x:v>
      </x:c>
      <x:c r="I15" s="546"/>
      <x:c r="J15" s="547"/>
      <x:c r="K15" s="567" t="s">
        <x:v>57</x:v>
      </x:c>
      <x:c r="L15" s="555" t="s">
        <x:v>65</x:v>
      </x:c>
      <x:c r="M15" s="555" t="s">
        <x:v>66</x:v>
      </x:c>
      <x:c r="N15" s="555" t="s">
        <x:v>67</x:v>
      </x:c>
      <x:c r="O15" s="533" t="s">
        <x:v>68</x:v>
      </x:c>
      <x:c r="P15" s="533" t="s">
        <x:v>20</x:v>
      </x:c>
      <x:c r="Q15" s="538" t="s">
        <x:v>69</x:v>
      </x:c>
      <x:c r="R15" s="539"/>
    </x:row>
    <x:row r="16" spans="1:26" x14ac:dyDescent="0.2">
      <x:c r="A16" s="519"/>
      <x:c r="B16" s="541"/>
      <x:c r="C16" s="568"/>
      <x:c r="D16" s="568"/>
      <x:c r="E16" s="568"/>
      <x:c r="F16" s="568"/>
      <x:c r="G16" s="568"/>
      <x:c r="H16" s="569"/>
      <x:c r="I16" s="546"/>
      <x:c r="J16" s="547"/>
      <x:c r="K16" s="548"/>
      <x:c r="L16" s="568"/>
      <x:c r="M16" s="568"/>
      <x:c r="N16" s="568"/>
      <x:c r="O16" s="570"/>
      <x:c r="P16" s="570"/>
      <x:c r="Q16" s="571"/>
      <x:c r="R16" s="553"/>
    </x:row>
    <x:row r="17" spans="1:26" x14ac:dyDescent="0.2">
      <x:c r="A17" s="519"/>
      <x:c r="B17" s="541"/>
      <x:c r="C17" s="568"/>
      <x:c r="D17" s="568"/>
      <x:c r="E17" s="568"/>
      <x:c r="F17" s="568"/>
      <x:c r="G17" s="568"/>
      <x:c r="H17" s="569"/>
      <x:c r="I17" s="546"/>
      <x:c r="J17" s="547"/>
      <x:c r="K17" s="548"/>
      <x:c r="L17" s="568"/>
      <x:c r="M17" s="568"/>
      <x:c r="N17" s="568"/>
      <x:c r="O17" s="570"/>
      <x:c r="P17" s="570"/>
      <x:c r="Q17" s="571"/>
      <x:c r="R17" s="553"/>
    </x:row>
    <x:row r="18" spans="1:26" x14ac:dyDescent="0.2">
      <x:c r="A18" s="519"/>
      <x:c r="B18" s="541"/>
      <x:c r="C18" s="568"/>
      <x:c r="D18" s="568"/>
      <x:c r="E18" s="568"/>
      <x:c r="F18" s="568"/>
      <x:c r="G18" s="568"/>
      <x:c r="H18" s="569"/>
      <x:c r="I18" s="546"/>
      <x:c r="J18" s="547"/>
      <x:c r="K18" s="548"/>
      <x:c r="L18" s="568"/>
      <x:c r="M18" s="568"/>
      <x:c r="N18" s="568"/>
      <x:c r="O18" s="570"/>
      <x:c r="P18" s="570"/>
      <x:c r="Q18" s="571"/>
      <x:c r="R18" s="553"/>
    </x:row>
    <x:row r="19" spans="1:26" x14ac:dyDescent="0.2">
      <x:c r="A19" s="519"/>
      <x:c r="B19" s="541"/>
      <x:c r="C19" s="568"/>
      <x:c r="D19" s="568"/>
      <x:c r="E19" s="568"/>
      <x:c r="F19" s="568"/>
      <x:c r="G19" s="568"/>
      <x:c r="H19" s="569"/>
      <x:c r="I19" s="546"/>
      <x:c r="J19" s="547"/>
      <x:c r="K19" s="548"/>
      <x:c r="L19" s="568"/>
      <x:c r="M19" s="568"/>
      <x:c r="N19" s="568"/>
      <x:c r="O19" s="570"/>
      <x:c r="P19" s="570"/>
      <x:c r="Q19" s="571"/>
      <x:c r="R19" s="553"/>
    </x:row>
    <x:row r="20" spans="1:26" ht="17" customHeight="1" x14ac:dyDescent="0.25">
      <x:c r="A20" s="519"/>
      <x:c r="B20" s="572" t="s">
        <x:v>70</x:v>
      </x:c>
      <x:c r="C20" s="558"/>
      <x:c r="D20" s="558"/>
      <x:c r="E20" s="558"/>
      <x:c r="F20" s="558"/>
      <x:c r="G20" s="558"/>
      <x:c r="H20" s="566"/>
      <x:c r="I20" s="546"/>
      <x:c r="J20" s="547"/>
      <x:c r="K20" s="557" t="s">
        <x:v>70</x:v>
      </x:c>
      <x:c r="L20" s="558"/>
      <x:c r="M20" s="558"/>
      <x:c r="N20" s="558"/>
      <x:c r="O20" s="559"/>
      <x:c r="P20" s="559"/>
      <x:c r="Q20" s="573"/>
      <x:c r="R20" s="553"/>
    </x:row>
    <x:row r="21" spans="1:26" ht="20" customHeight="1" x14ac:dyDescent="0.25">
      <x:c r="A21" s="519"/>
      <x:c r="B21" s="541" t="s">
        <x:v>71</x:v>
      </x:c>
      <x:c r="C21" s="574"/>
      <x:c r="D21" s="575"/>
      <x:c r="E21" s="556"/>
      <x:c r="F21" s="576" t="s">
        <x:v>72</x:v>
      </x:c>
      <x:c r="G21" s="577"/>
      <x:c r="H21" s="577"/>
      <x:c r="I21" s="578"/>
      <x:c r="J21" s="547"/>
      <x:c r="K21" s="579"/>
      <x:c r="L21" s="580"/>
      <x:c r="M21" s="580"/>
      <x:c r="N21" s="581"/>
      <x:c r="O21" s="582" t="s">
        <x:v>73</x:v>
      </x:c>
      <x:c r="P21" s="583"/>
      <x:c r="Q21" s="583"/>
      <x:c r="R21" s="561"/>
    </x:row>
    <x:row r="22" spans="1:26" ht="16.5" customHeight="1" x14ac:dyDescent="0.2">
      <x:c r="A22" s="519"/>
      <x:c r="B22" s="584"/>
      <x:c r="C22" s="585"/>
      <x:c r="D22" s="585"/>
      <x:c r="E22" s="586"/>
      <x:c r="F22" s="587"/>
      <x:c r="G22" s="580"/>
      <x:c r="H22" s="580"/>
      <x:c r="I22" s="581"/>
      <x:c r="J22" s="547"/>
      <x:c r="K22" s="547"/>
      <x:c r="L22" s="588"/>
      <x:c r="M22" s="588"/>
      <x:c r="N22" s="589"/>
      <x:c r="O22" s="590"/>
      <x:c r="P22" s="521"/>
      <x:c r="Q22" s="521"/>
      <x:c r="R22" s="448"/>
    </x:row>
    <x:row r="23" spans="1:26" ht="15.75" customHeight="1" x14ac:dyDescent="0.2">
      <x:c r="A23" s="519"/>
      <x:c r="B23" s="456"/>
      <x:c r="C23" s="588"/>
      <x:c r="D23" s="588"/>
      <x:c r="E23" s="589"/>
      <x:c r="F23" s="588"/>
      <x:c r="G23" s="588"/>
      <x:c r="H23" s="588"/>
      <x:c r="I23" s="589"/>
      <x:c r="J23" s="547"/>
      <x:c r="K23" s="547"/>
      <x:c r="L23" s="588"/>
      <x:c r="M23" s="588"/>
      <x:c r="N23" s="589"/>
      <x:c r="O23" s="456"/>
      <x:c r="P23" s="522"/>
      <x:c r="Q23" s="522"/>
      <x:c r="R23" s="457"/>
    </x:row>
    <x:row r="24" spans="1:26" ht="16.5" customHeight="1" x14ac:dyDescent="0.25">
      <x:c r="A24" s="519"/>
      <x:c r="B24" s="523"/>
      <x:c r="C24" s="591"/>
      <x:c r="D24" s="591"/>
      <x:c r="E24" s="592"/>
      <x:c r="F24" s="591"/>
      <x:c r="G24" s="591"/>
      <x:c r="H24" s="591"/>
      <x:c r="I24" s="592"/>
      <x:c r="J24" s="547"/>
      <x:c r="K24" s="593"/>
      <x:c r="L24" s="591"/>
      <x:c r="M24" s="591"/>
      <x:c r="N24" s="592"/>
      <x:c r="O24" s="523"/>
      <x:c r="P24" s="524"/>
      <x:c r="Q24" s="524"/>
      <x:c r="R24" s="480"/>
    </x:row>
    <x:row r="25" spans="1:26" ht="17" customHeight="1" x14ac:dyDescent="0.25">
      <x:c r="A25" s="519"/>
      <x:c r="B25" s="510"/>
      <x:c r="C25" s="588"/>
      <x:c r="D25" s="588"/>
      <x:c r="E25" s="588"/>
      <x:c r="F25" s="588"/>
      <x:c r="G25" s="588"/>
      <x:c r="H25" s="588"/>
      <x:c r="I25" s="588"/>
      <x:c r="J25" s="547"/>
      <x:c r="K25" s="594"/>
      <x:c r="L25" s="588"/>
      <x:c r="M25" s="588"/>
      <x:c r="N25" s="588"/>
      <x:c r="O25" s="522"/>
      <x:c r="P25" s="522"/>
      <x:c r="Q25" s="522"/>
      <x:c r="R25" s="522"/>
    </x:row>
    <x:row r="26" spans="1:26" ht="20" customHeight="1" x14ac:dyDescent="0.25">
      <x:c r="A26" s="519"/>
      <x:c r="B26" s="595" t="s">
        <x:v>74</x:v>
      </x:c>
      <x:c r="C26" s="596"/>
      <x:c r="D26" s="596"/>
      <x:c r="E26" s="596"/>
      <x:c r="F26" s="596"/>
      <x:c r="G26" s="596"/>
      <x:c r="H26" s="596"/>
      <x:c r="I26" s="597"/>
      <x:c r="J26" s="547"/>
      <x:c r="K26" s="598" t="s">
        <x:v>75</x:v>
      </x:c>
      <x:c r="L26" s="565"/>
      <x:c r="M26" s="565"/>
      <x:c r="N26" s="565"/>
      <x:c r="O26" s="530"/>
      <x:c r="P26" s="530"/>
      <x:c r="Q26" s="530"/>
      <x:c r="R26" s="531"/>
    </x:row>
    <x:row r="27" spans="1:26" x14ac:dyDescent="0.2">
      <x:c r="A27" s="519"/>
      <x:c r="B27" s="532" t="s">
        <x:v>57</x:v>
      </x:c>
      <x:c r="C27" s="555" t="s">
        <x:v>282</x:v>
      </x:c>
      <x:c r="D27" s="555" t="s">
        <x:v>58</x:v>
      </x:c>
      <x:c r="E27" s="555" t="s">
        <x:v>59</x:v>
      </x:c>
      <x:c r="F27" s="555"/>
      <x:c r="G27" s="555"/>
      <x:c r="H27" s="599" t="s">
        <x:v>60</x:v>
      </x:c>
      <x:c r="I27" s="586"/>
      <x:c r="J27" s="547"/>
      <x:c r="K27" s="567" t="s">
        <x:v>57</x:v>
      </x:c>
      <x:c r="L27" s="600" t="s">
        <x:v>282</x:v>
      </x:c>
      <x:c r="M27" s="600" t="s">
        <x:v>58</x:v>
      </x:c>
      <x:c r="N27" s="600" t="s">
        <x:v>59</x:v>
      </x:c>
      <x:c r="O27" s="537"/>
      <x:c r="P27" s="537"/>
      <x:c r="Q27" s="601" t="s">
        <x:v>60</x:v>
      </x:c>
      <x:c r="R27" s="448"/>
    </x:row>
    <x:row r="28" spans="1:26" x14ac:dyDescent="0.2">
      <x:c r="A28" s="519"/>
      <x:c r="B28" s="602" t="s">
        <x:v>149</x:v>
      </x:c>
      <x:c r="C28" s="603">
        <x:f>IF(ISNUMBER('Implement'!B100),'Implement'!B100,"")</x:f>
        <x:v>14</x:v>
      </x:c>
      <x:c r="D28" s="603"/>
      <x:c r="E28" s="603"/>
      <x:c r="F28" s="604"/>
      <x:c r="G28" s="605"/>
      <x:c r="H28" s="606"/>
      <x:c r="I28" s="546"/>
      <x:c r="J28" s="547"/>
      <x:c r="K28" s="607" t="s">
        <x:v>149</x:v>
      </x:c>
      <x:c r="L28" s="608">
        <x:f>IF(ISNUMBER('Validate'!B100),'Validate'!B100,"")</x:f>
        <x:v>15</x:v>
      </x:c>
      <x:c r="M28" s="608"/>
      <x:c r="N28" s="608"/>
      <x:c r="O28" s="609"/>
      <x:c r="P28" s="610"/>
      <x:c r="Q28" s="611"/>
      <x:c r="R28" s="612"/>
    </x:row>
    <x:row r="29" spans="1:26" x14ac:dyDescent="0.2">
      <x:c r="A29" s="519"/>
      <x:c r="B29" s="602"/>
      <x:c r="C29" s="603"/>
      <x:c r="D29" s="603"/>
      <x:c r="E29" s="603"/>
      <x:c r="F29" s="604"/>
      <x:c r="G29" s="605"/>
      <x:c r="H29" s="606"/>
      <x:c r="I29" s="546"/>
      <x:c r="J29" s="547"/>
      <x:c r="K29" s="607"/>
      <x:c r="L29" s="608"/>
      <x:c r="M29" s="608"/>
      <x:c r="N29" s="608"/>
      <x:c r="O29" s="609"/>
      <x:c r="P29" s="610"/>
      <x:c r="Q29" s="611"/>
      <x:c r="R29" s="612"/>
    </x:row>
    <x:row r="30" spans="1:26" x14ac:dyDescent="0.2">
      <x:c r="A30" s="519"/>
      <x:c r="B30" s="602"/>
      <x:c r="C30" s="603"/>
      <x:c r="D30" s="603"/>
      <x:c r="E30" s="603"/>
      <x:c r="F30" s="604"/>
      <x:c r="G30" s="605"/>
      <x:c r="H30" s="606"/>
      <x:c r="I30" s="546"/>
      <x:c r="J30" s="547"/>
      <x:c r="K30" s="607"/>
      <x:c r="L30" s="608"/>
      <x:c r="M30" s="608"/>
      <x:c r="N30" s="608"/>
      <x:c r="O30" s="609"/>
      <x:c r="P30" s="610"/>
      <x:c r="Q30" s="611"/>
      <x:c r="R30" s="612"/>
    </x:row>
    <x:row r="31" spans="1:26" x14ac:dyDescent="0.2">
      <x:c r="A31" s="519"/>
      <x:c r="B31" s="602"/>
      <x:c r="C31" s="603"/>
      <x:c r="D31" s="603"/>
      <x:c r="E31" s="603"/>
      <x:c r="F31" s="604"/>
      <x:c r="G31" s="605"/>
      <x:c r="H31" s="606"/>
      <x:c r="I31" s="546"/>
      <x:c r="J31" s="547"/>
      <x:c r="K31" s="607"/>
      <x:c r="L31" s="608"/>
      <x:c r="M31" s="608"/>
      <x:c r="N31" s="608"/>
      <x:c r="O31" s="609"/>
      <x:c r="P31" s="610"/>
      <x:c r="Q31" s="611"/>
      <x:c r="R31" s="612"/>
    </x:row>
    <x:row r="32" spans="1:26" x14ac:dyDescent="0.2">
      <x:c r="A32" s="519"/>
      <x:c r="B32" s="602" t="s">
        <x:v>49</x:v>
      </x:c>
      <x:c r="C32" s="603"/>
      <x:c r="D32" s="604"/>
      <x:c r="E32" s="604"/>
      <x:c r="F32" s="604"/>
      <x:c r="G32" s="604"/>
      <x:c r="H32" s="606"/>
      <x:c r="I32" s="546"/>
      <x:c r="J32" s="547"/>
      <x:c r="K32" s="607" t="s">
        <x:v>49</x:v>
      </x:c>
      <x:c r="L32" s="608"/>
      <x:c r="M32" s="613"/>
      <x:c r="N32" s="613"/>
      <x:c r="O32" s="609"/>
      <x:c r="P32" s="609"/>
      <x:c r="Q32" s="611"/>
      <x:c r="R32" s="612"/>
    </x:row>
    <x:row r="33" spans="1:26" ht="17" customHeight="1" x14ac:dyDescent="0.25">
      <x:c r="A33" s="519"/>
      <x:c r="B33" s="438" t="s">
        <x:v>62</x:v>
      </x:c>
      <x:c r="C33" s="555">
        <x:f>IF(ISNUMBER('Implement'!B100),'Implement'!B100,"")</x:f>
        <x:v>14</x:v>
      </x:c>
      <x:c r="D33" s="555"/>
      <x:c r="E33" s="555"/>
      <x:c r="F33" s="555"/>
      <x:c r="G33" s="555"/>
      <x:c r="H33" s="555"/>
      <x:c r="I33" s="556"/>
      <x:c r="J33" s="547"/>
      <x:c r="K33" s="557" t="s">
        <x:v>62</x:v>
      </x:c>
      <x:c r="L33" s="558">
        <x:f>IF(ISNUMBER('Validate'!B100),'Validate'!B100,"")</x:f>
        <x:v>15</x:v>
      </x:c>
      <x:c r="M33" s="558"/>
      <x:c r="N33" s="558"/>
      <x:c r="O33" s="559"/>
      <x:c r="P33" s="559"/>
      <x:c r="Q33" s="614"/>
      <x:c r="R33" s="615"/>
    </x:row>
    <x:row r="34" spans="1:26" ht="20" customHeight="1" x14ac:dyDescent="0.3">
      <x:c r="A34" s="519"/>
      <x:c r="B34" s="616" t="s">
        <x:v>76</x:v>
      </x:c>
      <x:c r="C34" s="563"/>
      <x:c r="D34" s="563"/>
      <x:c r="E34" s="563"/>
      <x:c r="F34" s="563"/>
      <x:c r="G34" s="563"/>
      <x:c r="H34" s="563"/>
      <x:c r="I34" s="556"/>
      <x:c r="J34" s="547"/>
      <x:c r="K34" s="617" t="s">
        <x:v>77</x:v>
      </x:c>
      <x:c r="L34" s="565"/>
      <x:c r="M34" s="565"/>
      <x:c r="N34" s="565"/>
      <x:c r="O34" s="530"/>
      <x:c r="P34" s="530"/>
      <x:c r="Q34" s="530"/>
      <x:c r="R34" s="618"/>
    </x:row>
    <x:row r="35" spans="1:26" x14ac:dyDescent="0.2">
      <x:c r="A35" s="519"/>
      <x:c r="B35" s="532" t="s">
        <x:v>57</x:v>
      </x:c>
      <x:c r="C35" s="555" t="s">
        <x:v>65</x:v>
      </x:c>
      <x:c r="D35" s="555" t="s">
        <x:v>66</x:v>
      </x:c>
      <x:c r="E35" s="555" t="s">
        <x:v>67</x:v>
      </x:c>
      <x:c r="F35" s="555" t="s">
        <x:v>68</x:v>
      </x:c>
      <x:c r="G35" s="555" t="s">
        <x:v>20</x:v>
      </x:c>
      <x:c r="H35" s="566" t="s">
        <x:v>69</x:v>
      </x:c>
      <x:c r="I35" s="546"/>
      <x:c r="J35" s="547"/>
      <x:c r="K35" s="567" t="s">
        <x:v>57</x:v>
      </x:c>
      <x:c r="L35" s="555" t="s">
        <x:v>65</x:v>
      </x:c>
      <x:c r="M35" s="555" t="s">
        <x:v>66</x:v>
      </x:c>
      <x:c r="N35" s="555" t="s">
        <x:v>67</x:v>
      </x:c>
      <x:c r="O35" s="533" t="s">
        <x:v>68</x:v>
      </x:c>
      <x:c r="P35" s="533" t="s">
        <x:v>20</x:v>
      </x:c>
      <x:c r="Q35" s="619" t="s">
        <x:v>69</x:v>
      </x:c>
      <x:c r="R35" s="553"/>
    </x:row>
    <x:row r="36" spans="1:26" x14ac:dyDescent="0.2">
      <x:c r="A36" s="519"/>
      <x:c r="B36" s="602"/>
      <x:c r="C36" s="568"/>
      <x:c r="D36" s="568"/>
      <x:c r="E36" s="568"/>
      <x:c r="F36" s="568"/>
      <x:c r="G36" s="568"/>
      <x:c r="H36" s="606"/>
      <x:c r="I36" s="546"/>
      <x:c r="J36" s="547"/>
      <x:c r="K36" s="607"/>
      <x:c r="L36" s="568"/>
      <x:c r="M36" s="568"/>
      <x:c r="N36" s="568"/>
      <x:c r="O36" s="570"/>
      <x:c r="P36" s="570"/>
      <x:c r="Q36" s="620"/>
      <x:c r="R36" s="553"/>
    </x:row>
    <x:row r="37" spans="1:26" x14ac:dyDescent="0.2">
      <x:c r="A37" s="519"/>
      <x:c r="B37" s="602"/>
      <x:c r="C37" s="568"/>
      <x:c r="D37" s="568"/>
      <x:c r="E37" s="568"/>
      <x:c r="F37" s="568"/>
      <x:c r="G37" s="568"/>
      <x:c r="H37" s="606"/>
      <x:c r="I37" s="546"/>
      <x:c r="J37" s="547"/>
      <x:c r="K37" s="607"/>
      <x:c r="L37" s="568"/>
      <x:c r="M37" s="568"/>
      <x:c r="N37" s="568"/>
      <x:c r="O37" s="570"/>
      <x:c r="P37" s="570"/>
      <x:c r="Q37" s="620"/>
      <x:c r="R37" s="553"/>
    </x:row>
    <x:row r="38" spans="1:26" x14ac:dyDescent="0.2">
      <x:c r="A38" s="519"/>
      <x:c r="B38" s="602"/>
      <x:c r="C38" s="568"/>
      <x:c r="D38" s="568"/>
      <x:c r="E38" s="568"/>
      <x:c r="F38" s="568"/>
      <x:c r="G38" s="568"/>
      <x:c r="H38" s="606"/>
      <x:c r="I38" s="546"/>
      <x:c r="J38" s="547"/>
      <x:c r="K38" s="607"/>
      <x:c r="L38" s="568"/>
      <x:c r="M38" s="568"/>
      <x:c r="N38" s="568"/>
      <x:c r="O38" s="570"/>
      <x:c r="P38" s="570"/>
      <x:c r="Q38" s="620"/>
      <x:c r="R38" s="553"/>
    </x:row>
    <x:row r="39" spans="1:26" x14ac:dyDescent="0.2">
      <x:c r="A39" s="519"/>
      <x:c r="B39" s="602"/>
      <x:c r="C39" s="568"/>
      <x:c r="D39" s="568"/>
      <x:c r="E39" s="568"/>
      <x:c r="F39" s="568"/>
      <x:c r="G39" s="568"/>
      <x:c r="H39" s="606"/>
      <x:c r="I39" s="546"/>
      <x:c r="J39" s="547"/>
      <x:c r="K39" s="607"/>
      <x:c r="L39" s="568"/>
      <x:c r="M39" s="568"/>
      <x:c r="N39" s="568"/>
      <x:c r="O39" s="570"/>
      <x:c r="P39" s="570"/>
      <x:c r="Q39" s="620"/>
      <x:c r="R39" s="553"/>
    </x:row>
    <x:row r="40" spans="1:26" ht="17" customHeight="1" x14ac:dyDescent="0.25">
      <x:c r="A40" s="519"/>
      <x:c r="B40" s="572" t="s">
        <x:v>70</x:v>
      </x:c>
      <x:c r="C40" s="558"/>
      <x:c r="D40" s="558"/>
      <x:c r="E40" s="558"/>
      <x:c r="F40" s="558"/>
      <x:c r="G40" s="558"/>
      <x:c r="H40" s="566"/>
      <x:c r="I40" s="546"/>
      <x:c r="J40" s="547"/>
      <x:c r="K40" s="557" t="s">
        <x:v>70</x:v>
      </x:c>
      <x:c r="L40" s="558"/>
      <x:c r="M40" s="558"/>
      <x:c r="N40" s="558"/>
      <x:c r="O40" s="559"/>
      <x:c r="P40" s="559"/>
      <x:c r="Q40" s="573"/>
      <x:c r="R40" s="553"/>
    </x:row>
    <x:row r="41" spans="1:26" ht="20" customHeight="1" x14ac:dyDescent="0.25">
      <x:c r="A41" s="519"/>
      <x:c r="B41" s="621"/>
      <x:c r="C41" s="580"/>
      <x:c r="D41" s="580"/>
      <x:c r="E41" s="581"/>
      <x:c r="F41" s="622" t="s">
        <x:v>78</x:v>
      </x:c>
      <x:c r="G41" s="585"/>
      <x:c r="H41" s="585"/>
      <x:c r="I41" s="623"/>
      <x:c r="J41" s="547"/>
      <x:c r="K41" s="624"/>
      <x:c r="L41" s="580"/>
      <x:c r="M41" s="580"/>
      <x:c r="N41" s="581"/>
      <x:c r="O41" s="625" t="s">
        <x:v>79</x:v>
      </x:c>
      <x:c r="P41" s="626"/>
      <x:c r="Q41" s="626"/>
      <x:c r="R41" s="627"/>
    </x:row>
    <x:row r="42" spans="1:26" x14ac:dyDescent="0.2">
      <x:c r="A42" s="519"/>
      <x:c r="B42" s="456"/>
      <x:c r="C42" s="588"/>
      <x:c r="D42" s="588"/>
      <x:c r="E42" s="589"/>
      <x:c r="F42" s="628"/>
      <x:c r="G42" s="580"/>
      <x:c r="H42" s="580"/>
      <x:c r="I42" s="581"/>
      <x:c r="J42" s="547"/>
      <x:c r="K42" s="547"/>
      <x:c r="L42" s="588"/>
      <x:c r="M42" s="588"/>
      <x:c r="N42" s="589"/>
      <x:c r="O42" s="629"/>
      <x:c r="P42" s="521"/>
      <x:c r="Q42" s="521"/>
      <x:c r="R42" s="448"/>
    </x:row>
    <x:row r="43" spans="1:26" x14ac:dyDescent="0.2">
      <x:c r="A43" s="519"/>
      <x:c r="B43" s="456"/>
      <x:c r="C43" s="588"/>
      <x:c r="D43" s="588"/>
      <x:c r="E43" s="589"/>
      <x:c r="F43" s="588"/>
      <x:c r="G43" s="588"/>
      <x:c r="H43" s="588"/>
      <x:c r="I43" s="589"/>
      <x:c r="J43" s="547"/>
      <x:c r="K43" s="547"/>
      <x:c r="L43" s="588"/>
      <x:c r="M43" s="588"/>
      <x:c r="N43" s="589"/>
      <x:c r="O43" s="522"/>
      <x:c r="P43" s="522"/>
      <x:c r="Q43" s="522"/>
      <x:c r="R43" s="457"/>
    </x:row>
    <x:row r="44" spans="1:26" ht="17" customHeight="1" x14ac:dyDescent="0.25">
      <x:c r="A44" s="519"/>
      <x:c r="B44" s="523"/>
      <x:c r="C44" s="591"/>
      <x:c r="D44" s="591"/>
      <x:c r="E44" s="592"/>
      <x:c r="F44" s="591"/>
      <x:c r="G44" s="591"/>
      <x:c r="H44" s="591"/>
      <x:c r="I44" s="592"/>
      <x:c r="J44" s="547"/>
      <x:c r="K44" s="593"/>
      <x:c r="L44" s="591"/>
      <x:c r="M44" s="591"/>
      <x:c r="N44" s="592"/>
      <x:c r="O44" s="524"/>
      <x:c r="P44" s="524"/>
      <x:c r="Q44" s="524"/>
      <x:c r="R44" s="480"/>
    </x:row>
    <x:row r="45" spans="1:26" ht="17" customHeight="1" x14ac:dyDescent="0.25">
      <x:c r="A45" s="519"/>
      <x:c r="B45" s="630"/>
      <x:c r="C45" s="565"/>
      <x:c r="D45" s="565"/>
      <x:c r="E45" s="565"/>
      <x:c r="F45" s="565"/>
      <x:c r="G45" s="565"/>
      <x:c r="H45" s="565"/>
      <x:c r="I45" s="565"/>
      <x:c r="J45" s="547"/>
      <x:c r="K45" s="588"/>
      <x:c r="L45" s="588"/>
      <x:c r="M45" s="588"/>
      <x:c r="N45" s="588"/>
      <x:c r="O45" s="522"/>
      <x:c r="P45" s="522"/>
      <x:c r="Q45" s="522"/>
      <x:c r="R45" s="522"/>
    </x:row>
    <x:row r="46" spans="1:26" ht="19" customHeight="1" x14ac:dyDescent="0.2">
      <x:c r="A46" s="519"/>
      <x:c r="B46" s="631" t="s">
        <x:v>80</x:v>
      </x:c>
      <x:c r="C46" s="596"/>
      <x:c r="D46" s="596"/>
      <x:c r="E46" s="596"/>
      <x:c r="F46" s="596"/>
      <x:c r="G46" s="596"/>
      <x:c r="H46" s="596"/>
      <x:c r="I46" s="597"/>
      <x:c r="J46" s="547"/>
      <x:c r="K46" s="588"/>
      <x:c r="L46" s="588"/>
      <x:c r="M46" s="588"/>
      <x:c r="N46" s="588"/>
      <x:c r="O46" s="522"/>
      <x:c r="P46" s="522"/>
      <x:c r="Q46" s="522"/>
      <x:c r="R46" s="522"/>
    </x:row>
    <x:row r="47" spans="1:26" x14ac:dyDescent="0.2">
      <x:c r="A47" s="519"/>
      <x:c r="B47" s="532" t="s">
        <x:v>57</x:v>
      </x:c>
      <x:c r="C47" s="555" t="s">
        <x:v>282</x:v>
      </x:c>
      <x:c r="D47" s="555" t="s">
        <x:v>58</x:v>
      </x:c>
      <x:c r="E47" s="555" t="s">
        <x:v>59</x:v>
      </x:c>
      <x:c r="F47" s="555"/>
      <x:c r="G47" s="555"/>
      <x:c r="H47" s="599" t="s">
        <x:v>60</x:v>
      </x:c>
      <x:c r="I47" s="586"/>
      <x:c r="J47" s="547"/>
      <x:c r="K47" s="588"/>
      <x:c r="L47" s="588"/>
      <x:c r="M47" s="588"/>
      <x:c r="N47" s="588"/>
      <x:c r="O47" s="522"/>
      <x:c r="P47" s="522"/>
      <x:c r="Q47" s="522"/>
      <x:c r="R47" s="522"/>
    </x:row>
    <x:row r="48" spans="1:26" x14ac:dyDescent="0.2">
      <x:c r="A48" s="519"/>
      <x:c r="B48" s="632" t="s">
        <x:v>149</x:v>
      </x:c>
      <x:c r="C48" s="633">
        <x:f>IF(ISNUMBER('Release'!B100),'Release'!B100,"")</x:f>
        <x:v>16</x:v>
      </x:c>
      <x:c r="D48" s="633"/>
      <x:c r="E48" s="633"/>
      <x:c r="F48" s="634"/>
      <x:c r="G48" s="635"/>
      <x:c r="H48" s="636"/>
      <x:c r="I48" s="556"/>
      <x:c r="J48" s="547"/>
      <x:c r="K48" s="588"/>
      <x:c r="L48" s="588"/>
      <x:c r="M48" s="588"/>
      <x:c r="N48" s="588"/>
      <x:c r="O48" s="522"/>
      <x:c r="P48" s="522"/>
      <x:c r="Q48" s="522"/>
      <x:c r="R48" s="522"/>
    </x:row>
    <x:row r="49" spans="1:26" x14ac:dyDescent="0.2">
      <x:c r="A49" s="519"/>
      <x:c r="B49" s="632"/>
      <x:c r="C49" s="633"/>
      <x:c r="D49" s="633"/>
      <x:c r="E49" s="633"/>
      <x:c r="F49" s="634"/>
      <x:c r="G49" s="635"/>
      <x:c r="H49" s="636"/>
      <x:c r="I49" s="556"/>
      <x:c r="J49" s="547"/>
      <x:c r="K49" s="588"/>
      <x:c r="L49" s="588"/>
      <x:c r="M49" s="588"/>
      <x:c r="N49" s="588"/>
      <x:c r="O49" s="522"/>
      <x:c r="P49" s="522"/>
      <x:c r="Q49" s="522"/>
      <x:c r="R49" s="522"/>
    </x:row>
    <x:row r="50" spans="1:26" x14ac:dyDescent="0.2">
      <x:c r="A50" s="519"/>
      <x:c r="B50" s="632"/>
      <x:c r="C50" s="633"/>
      <x:c r="D50" s="633"/>
      <x:c r="E50" s="633"/>
      <x:c r="F50" s="634"/>
      <x:c r="G50" s="635"/>
      <x:c r="H50" s="636"/>
      <x:c r="I50" s="556"/>
      <x:c r="J50" s="547"/>
      <x:c r="K50" s="588"/>
      <x:c r="L50" s="588"/>
      <x:c r="M50" s="588"/>
      <x:c r="N50" s="588"/>
      <x:c r="O50" s="522"/>
      <x:c r="P50" s="522"/>
      <x:c r="Q50" s="522"/>
      <x:c r="R50" s="522"/>
    </x:row>
    <x:row r="51" spans="1:26" x14ac:dyDescent="0.2">
      <x:c r="A51" s="519"/>
      <x:c r="B51" s="632"/>
      <x:c r="C51" s="633"/>
      <x:c r="D51" s="633"/>
      <x:c r="E51" s="633"/>
      <x:c r="F51" s="634"/>
      <x:c r="G51" s="635"/>
      <x:c r="H51" s="636"/>
      <x:c r="I51" s="556"/>
      <x:c r="J51" s="547"/>
      <x:c r="K51" s="588"/>
      <x:c r="L51" s="588"/>
      <x:c r="M51" s="588"/>
      <x:c r="N51" s="588"/>
      <x:c r="O51" s="522"/>
      <x:c r="P51" s="522"/>
      <x:c r="Q51" s="522"/>
      <x:c r="R51" s="522"/>
    </x:row>
    <x:row r="52" spans="1:26" x14ac:dyDescent="0.2">
      <x:c r="A52" s="519"/>
      <x:c r="B52" s="632" t="s">
        <x:v>49</x:v>
      </x:c>
      <x:c r="C52" s="633"/>
      <x:c r="D52" s="634"/>
      <x:c r="E52" s="634"/>
      <x:c r="F52" s="634"/>
      <x:c r="G52" s="634"/>
      <x:c r="H52" s="637"/>
      <x:c r="I52" s="546"/>
      <x:c r="J52" s="547"/>
      <x:c r="K52" s="588"/>
      <x:c r="L52" s="588"/>
      <x:c r="M52" s="588"/>
      <x:c r="N52" s="588"/>
      <x:c r="O52" s="522"/>
      <x:c r="P52" s="522"/>
      <x:c r="Q52" s="522"/>
      <x:c r="R52" s="522"/>
    </x:row>
    <x:row r="53" spans="1:26" x14ac:dyDescent="0.2">
      <x:c r="A53" s="519"/>
      <x:c r="B53" s="438" t="s">
        <x:v>62</x:v>
      </x:c>
      <x:c r="C53" s="555">
        <x:f>IF(ISNUMBER('Release'!B100),'Release'!B100,"")</x:f>
        <x:v>16</x:v>
      </x:c>
      <x:c r="D53" s="555"/>
      <x:c r="E53" s="555"/>
      <x:c r="F53" s="555"/>
      <x:c r="G53" s="555"/>
      <x:c r="H53" s="555"/>
      <x:c r="I53" s="556"/>
      <x:c r="J53" s="547"/>
      <x:c r="K53" s="588"/>
      <x:c r="L53" s="588"/>
      <x:c r="M53" s="588"/>
      <x:c r="N53" s="588"/>
      <x:c r="O53" s="522"/>
      <x:c r="P53" s="522"/>
      <x:c r="Q53" s="522"/>
      <x:c r="R53" s="522"/>
    </x:row>
    <x:row r="54" spans="1:26" ht="19" customHeight="1" x14ac:dyDescent="0.25">
      <x:c r="A54" s="519"/>
      <x:c r="B54" s="638" t="s">
        <x:v>81</x:v>
      </x:c>
      <x:c r="C54" s="639"/>
      <x:c r="D54" s="639"/>
      <x:c r="E54" s="639"/>
      <x:c r="F54" s="639"/>
      <x:c r="G54" s="639"/>
      <x:c r="H54" s="639"/>
      <x:c r="I54" s="612"/>
      <x:c r="J54" s="456"/>
      <x:c r="K54" s="522"/>
      <x:c r="L54" s="522"/>
      <x:c r="M54" s="522"/>
      <x:c r="N54" s="522"/>
      <x:c r="O54" s="522"/>
      <x:c r="P54" s="522"/>
      <x:c r="Q54" s="522"/>
      <x:c r="R54" s="522"/>
    </x:row>
    <x:row r="55" spans="1:26" x14ac:dyDescent="0.2">
      <x:c r="A55" s="519"/>
      <x:c r="B55" s="532" t="s">
        <x:v>57</x:v>
      </x:c>
      <x:c r="C55" s="533" t="s">
        <x:v>65</x:v>
      </x:c>
      <x:c r="D55" s="533" t="s">
        <x:v>66</x:v>
      </x:c>
      <x:c r="E55" s="533" t="s">
        <x:v>67</x:v>
      </x:c>
      <x:c r="F55" s="533" t="s">
        <x:v>68</x:v>
      </x:c>
      <x:c r="G55" s="533" t="s">
        <x:v>20</x:v>
      </x:c>
      <x:c r="H55" s="619" t="s">
        <x:v>69</x:v>
      </x:c>
      <x:c r="I55" s="553"/>
      <x:c r="J55" s="456"/>
      <x:c r="K55" s="522"/>
      <x:c r="L55" s="522"/>
      <x:c r="M55" s="522"/>
      <x:c r="N55" s="522"/>
      <x:c r="O55" s="522"/>
      <x:c r="P55" s="522"/>
      <x:c r="Q55" s="522"/>
      <x:c r="R55" s="522"/>
    </x:row>
    <x:row r="56" spans="1:26" x14ac:dyDescent="0.2">
      <x:c r="A56" s="519"/>
      <x:c r="B56" s="632"/>
      <x:c r="C56" s="570"/>
      <x:c r="D56" s="570"/>
      <x:c r="E56" s="570"/>
      <x:c r="F56" s="570"/>
      <x:c r="G56" s="570"/>
      <x:c r="H56" s="640"/>
      <x:c r="I56" s="553"/>
      <x:c r="J56" s="456"/>
      <x:c r="K56" s="522"/>
      <x:c r="L56" s="522"/>
      <x:c r="M56" s="522"/>
      <x:c r="N56" s="522"/>
      <x:c r="O56" s="522"/>
      <x:c r="P56" s="522"/>
      <x:c r="Q56" s="522"/>
      <x:c r="R56" s="522"/>
    </x:row>
    <x:row r="57" spans="1:26" x14ac:dyDescent="0.2">
      <x:c r="A57" s="519"/>
      <x:c r="B57" s="632"/>
      <x:c r="C57" s="570"/>
      <x:c r="D57" s="570"/>
      <x:c r="E57" s="570"/>
      <x:c r="F57" s="570"/>
      <x:c r="G57" s="570"/>
      <x:c r="H57" s="640"/>
      <x:c r="I57" s="553"/>
      <x:c r="J57" s="456"/>
      <x:c r="K57" s="522"/>
      <x:c r="L57" s="522"/>
      <x:c r="M57" s="522"/>
      <x:c r="N57" s="522"/>
      <x:c r="O57" s="522"/>
      <x:c r="P57" s="522"/>
      <x:c r="Q57" s="522"/>
      <x:c r="R57" s="522"/>
    </x:row>
    <x:row r="58" spans="1:26" x14ac:dyDescent="0.2">
      <x:c r="A58" s="519"/>
      <x:c r="B58" s="632"/>
      <x:c r="C58" s="570"/>
      <x:c r="D58" s="570"/>
      <x:c r="E58" s="570"/>
      <x:c r="F58" s="570"/>
      <x:c r="G58" s="570"/>
      <x:c r="H58" s="640"/>
      <x:c r="I58" s="553"/>
      <x:c r="J58" s="456"/>
      <x:c r="K58" s="522"/>
      <x:c r="L58" s="522"/>
      <x:c r="M58" s="522"/>
      <x:c r="N58" s="522"/>
      <x:c r="O58" s="522"/>
      <x:c r="P58" s="522"/>
      <x:c r="Q58" s="522"/>
      <x:c r="R58" s="522"/>
    </x:row>
    <x:row r="59" spans="1:26" x14ac:dyDescent="0.2">
      <x:c r="A59" s="519"/>
      <x:c r="B59" s="632"/>
      <x:c r="C59" s="570"/>
      <x:c r="D59" s="570"/>
      <x:c r="E59" s="570"/>
      <x:c r="F59" s="570"/>
      <x:c r="G59" s="570"/>
      <x:c r="H59" s="640"/>
      <x:c r="I59" s="553"/>
      <x:c r="J59" s="456"/>
      <x:c r="K59" s="522"/>
      <x:c r="L59" s="522"/>
      <x:c r="M59" s="522"/>
      <x:c r="N59" s="522"/>
      <x:c r="O59" s="522"/>
      <x:c r="P59" s="522"/>
      <x:c r="Q59" s="522"/>
      <x:c r="R59" s="522"/>
    </x:row>
    <x:row r="60" spans="1:26" ht="17" customHeight="1" x14ac:dyDescent="0.25">
      <x:c r="A60" s="519"/>
      <x:c r="B60" s="572" t="s">
        <x:v>70</x:v>
      </x:c>
      <x:c r="C60" s="559"/>
      <x:c r="D60" s="559"/>
      <x:c r="E60" s="559"/>
      <x:c r="F60" s="559"/>
      <x:c r="G60" s="559"/>
      <x:c r="H60" s="573"/>
      <x:c r="I60" s="553"/>
      <x:c r="J60" s="456"/>
      <x:c r="K60" s="522"/>
      <x:c r="L60" s="522"/>
      <x:c r="M60" s="522"/>
      <x:c r="N60" s="522"/>
      <x:c r="O60" s="522"/>
      <x:c r="P60" s="522"/>
      <x:c r="Q60" s="522"/>
      <x:c r="R60" s="522"/>
    </x:row>
    <x:row r="61" spans="1:26" ht="20" customHeight="1" x14ac:dyDescent="0.25">
      <x:c r="A61" s="519"/>
      <x:c r="B61" s="641"/>
      <x:c r="C61" s="521"/>
      <x:c r="D61" s="521"/>
      <x:c r="E61" s="448"/>
      <x:c r="F61" s="625" t="s">
        <x:v>82</x:v>
      </x:c>
      <x:c r="G61" s="626"/>
      <x:c r="H61" s="626"/>
      <x:c r="I61" s="627"/>
      <x:c r="J61" s="456"/>
      <x:c r="K61" s="522"/>
      <x:c r="L61" s="522"/>
      <x:c r="M61" s="522"/>
      <x:c r="N61" s="522"/>
      <x:c r="O61" s="522"/>
      <x:c r="P61" s="522"/>
      <x:c r="Q61" s="522"/>
      <x:c r="R61" s="522"/>
    </x:row>
    <x:row r="62" spans="1:26" x14ac:dyDescent="0.2">
      <x:c r="A62" s="519"/>
      <x:c r="B62" s="456"/>
      <x:c r="C62" s="522"/>
      <x:c r="D62" s="522"/>
      <x:c r="E62" s="457"/>
      <x:c r="F62" s="642"/>
      <x:c r="G62" s="521"/>
      <x:c r="H62" s="521"/>
      <x:c r="I62" s="448"/>
      <x:c r="J62" s="456"/>
      <x:c r="K62" s="522"/>
      <x:c r="L62" s="522"/>
      <x:c r="M62" s="522"/>
      <x:c r="N62" s="522"/>
      <x:c r="O62" s="522"/>
      <x:c r="P62" s="522"/>
      <x:c r="Q62" s="522"/>
      <x:c r="R62" s="522"/>
    </x:row>
    <x:row r="63" spans="1:26" x14ac:dyDescent="0.2">
      <x:c r="A63" s="519"/>
      <x:c r="B63" s="456"/>
      <x:c r="C63" s="522"/>
      <x:c r="D63" s="522"/>
      <x:c r="E63" s="457"/>
      <x:c r="F63" s="522"/>
      <x:c r="G63" s="522"/>
      <x:c r="H63" s="522"/>
      <x:c r="I63" s="457"/>
      <x:c r="J63" s="456"/>
      <x:c r="K63" s="522"/>
      <x:c r="L63" s="522"/>
      <x:c r="M63" s="522"/>
      <x:c r="N63" s="522"/>
      <x:c r="O63" s="522"/>
      <x:c r="P63" s="522"/>
      <x:c r="Q63" s="522"/>
      <x:c r="R63" s="522"/>
    </x:row>
    <x:row r="64" spans="1:26" ht="17" customHeight="1" x14ac:dyDescent="0.25">
      <x:c r="A64" s="519"/>
      <x:c r="B64" s="523"/>
      <x:c r="C64" s="524"/>
      <x:c r="D64" s="524"/>
      <x:c r="E64" s="480"/>
      <x:c r="F64" s="524"/>
      <x:c r="G64" s="524"/>
      <x:c r="H64" s="524"/>
      <x:c r="I64" s="480"/>
      <x:c r="J64" s="456"/>
      <x:c r="K64" s="522"/>
      <x:c r="L64" s="522"/>
      <x:c r="M64" s="522"/>
      <x:c r="N64" s="522"/>
      <x:c r="O64" s="522"/>
      <x:c r="P64" s="522"/>
      <x:c r="Q64" s="522"/>
      <x:c r="R64" s="522"/>
    </x:row>
    <x:row r="65" spans="1:26" x14ac:dyDescent="0.2">
      <x:c r="A65" s="519"/>
    </x:row>
    <x:row r="66" spans="1:26" x14ac:dyDescent="0.2">
      <x:c r="A66" s="519"/>
    </x:row>
    <x:row r="67" spans="1:26" x14ac:dyDescent="0.2">
      <x:c r="A67" s="519"/>
    </x:row>
    <x:row r="68" spans="1:26" x14ac:dyDescent="0.2">
      <x:c r="A68" s="519"/>
    </x:row>
    <x:row r="69" spans="1:26" x14ac:dyDescent="0.2">
      <x:c r="A69" s="519"/>
    </x:row>
    <x:row r="70" spans="1:26" x14ac:dyDescent="0.2">
      <x:c r="A70" s="519"/>
    </x:row>
    <x:row r="71" spans="1:26" x14ac:dyDescent="0.2">
      <x:c r="A71" s="519"/>
    </x:row>
    <x:row r="72" spans="1:26" x14ac:dyDescent="0.2">
      <x:c r="A72" s="519"/>
    </x:row>
    <x:row r="73" spans="1:26" x14ac:dyDescent="0.2">
      <x:c r="A73" s="519"/>
    </x:row>
    <x:row r="74" spans="1:26" x14ac:dyDescent="0.2">
      <x:c r="A74" s="519"/>
    </x:row>
    <x:row r="75" spans="1:26" x14ac:dyDescent="0.2">
      <x:c r="A75" s="519"/>
    </x:row>
    <x:row r="76" spans="1:26" x14ac:dyDescent="0.2">
      <x:c r="A76" s="519"/>
    </x:row>
    <x:row r="77" spans="1:26" x14ac:dyDescent="0.2">
      <x:c r="A77" s="519"/>
    </x:row>
    <x:row r="78" spans="1:26" x14ac:dyDescent="0.2">
      <x:c r="A78" s="519"/>
    </x:row>
    <x:row r="79" spans="1:26" x14ac:dyDescent="0.2">
      <x:c r="A79" s="519"/>
    </x:row>
    <x:row r="80" spans="1:26" x14ac:dyDescent="0.2">
      <x:c r="A80" s="519"/>
    </x:row>
    <x:row r="81" spans="1:26" x14ac:dyDescent="0.2">
      <x:c r="A81" s="519"/>
    </x:row>
    <x:row r="82" spans="1:26" x14ac:dyDescent="0.2">
      <x:c r="A82" s="519"/>
    </x:row>
    <x:row r="83" spans="1:26" x14ac:dyDescent="0.2">
      <x:c r="A83" s="519"/>
    </x:row>
    <x:row r="84" spans="1:26" x14ac:dyDescent="0.2">
      <x:c r="A84" s="519"/>
    </x:row>
    <x:row r="85" spans="1:26" x14ac:dyDescent="0.2">
      <x:c r="A85" s="519"/>
    </x:row>
    <x:row r="86" spans="1:26" x14ac:dyDescent="0.2">
      <x:c r="A86" s="519"/>
    </x:row>
    <x:row r="87" spans="1:26" x14ac:dyDescent="0.2">
      <x:c r="A87" s="519"/>
    </x:row>
    <x:row r="88" spans="1:26" x14ac:dyDescent="0.2">
      <x:c r="A88" s="519"/>
    </x:row>
    <x:row r="89" spans="1:26" x14ac:dyDescent="0.2">
      <x:c r="A89" s="519"/>
    </x:row>
    <x:row r="90" spans="1:26" x14ac:dyDescent="0.2">
      <x:c r="A90" s="519"/>
    </x:row>
    <x:row r="91" spans="1:26" x14ac:dyDescent="0.2">
      <x:c r="A91" s="519"/>
    </x:row>
    <x:row r="92" spans="1:26" x14ac:dyDescent="0.2">
      <x:c r="A92" s="519"/>
    </x:row>
    <x:row r="93" spans="1:26" x14ac:dyDescent="0.2">
      <x:c r="A93" s="519"/>
    </x:row>
    <x:row r="94" spans="1:26" x14ac:dyDescent="0.2">
      <x:c r="A94" s="519"/>
    </x:row>
    <x:row r="95" spans="1:26" x14ac:dyDescent="0.2">
      <x:c r="A95" s="519"/>
    </x:row>
    <x:row r="96" spans="1:26" x14ac:dyDescent="0.2">
      <x:c r="A96" s="519"/>
    </x:row>
    <x:row r="97" spans="1:26" x14ac:dyDescent="0.2">
      <x:c r="A97" s="519"/>
    </x:row>
    <x:row r="98" spans="1:26" x14ac:dyDescent="0.2">
      <x:c r="A98" s="519"/>
    </x:row>
    <x:row r="99" spans="1:26" x14ac:dyDescent="0.2">
      <x:c r="A99" s="519"/>
    </x:row>
    <x:row r="100" spans="1:26" x14ac:dyDescent="0.2">
      <x:c r="A100" s="519"/>
    </x:row>
    <x:row r="101" spans="1:26" x14ac:dyDescent="0.2">
      <x:c r="A101" s="519"/>
    </x:row>
    <x:row r="102" spans="1:26" x14ac:dyDescent="0.2">
      <x:c r="A102" s="519"/>
    </x:row>
    <x:row r="103" spans="1:26" x14ac:dyDescent="0.2">
      <x:c r="A103" s="430"/>
      <x:c r="J103" s="430"/>
      <x:c r="S103" s="430"/>
    </x:row>
    <x:row r="123" spans="1:26" x14ac:dyDescent="0.2">
      <x:c r="B123" s="430"/>
      <x:c r="C123" s="430"/>
      <x:c r="D123" s="430"/>
      <x:c r="E123" s="430"/>
      <x:c r="F123" s="430"/>
      <x:c r="G123" s="430"/>
      <x:c r="H123" s="430"/>
      <x:c r="I123" s="430"/>
      <x:c r="K123" s="430"/>
      <x:c r="L123" s="430"/>
      <x:c r="M123" s="430"/>
      <x:c r="N123" s="430"/>
      <x:c r="O123" s="430"/>
      <x:c r="P123" s="430"/>
      <x:c r="Q123" s="430"/>
      <x:c r="R123" s="430"/>
    </x:row>
  </x:sheetData>
  <x:sheetProtection algorithmName="SHA-512" hashValue="K7f7EYHPI30TYQeiWP8qeWPLfINI2dpsBZG7A+0HK6iSZ8DdKk/qwq765kWNCrzjEECT5Yty/2FVOW4douznFQ==" saltValue="W1/EhtsbGJu8wX/K95enfw==" spinCount="100000" sheet="1" formatColumns="0" formatRows="0" selectLockedCells="1"/>
  <x:mergeCells count="100">
    <x:mergeCell ref="A1:A64"/>
    <x:mergeCell ref="B1:R1"/>
    <x:mergeCell ref="S1:S44"/>
    <x:mergeCell ref="B2:R4"/>
    <x:mergeCell ref="B5:R5"/>
    <x:mergeCell ref="B6:I6"/>
    <x:mergeCell ref="J6:J64"/>
    <x:mergeCell ref="K6:R6"/>
    <x:mergeCell ref="H7:I7"/>
    <x:mergeCell ref="Q7:R7"/>
    <x:mergeCell ref="H8:I8"/>
    <x:mergeCell ref="Q8:R8"/>
    <x:mergeCell ref="H9:I9"/>
    <x:mergeCell ref="Q9:R9"/>
    <x:mergeCell ref="H10:I10"/>
    <x:mergeCell ref="Q10:R10"/>
    <x:mergeCell ref="H11:I11"/>
    <x:mergeCell ref="Q11:R11"/>
    <x:mergeCell ref="H12:I12"/>
    <x:mergeCell ref="Q12:R12"/>
    <x:mergeCell ref="H13:I13"/>
    <x:mergeCell ref="Q13:R13"/>
    <x:mergeCell ref="B14:I14"/>
    <x:mergeCell ref="K14:R14"/>
    <x:mergeCell ref="H15:I15"/>
    <x:mergeCell ref="Q15:R15"/>
    <x:mergeCell ref="H16:I16"/>
    <x:mergeCell ref="Q16:R16"/>
    <x:mergeCell ref="H17:I17"/>
    <x:mergeCell ref="Q17:R17"/>
    <x:mergeCell ref="H18:I18"/>
    <x:mergeCell ref="Q18:R18"/>
    <x:mergeCell ref="H19:I19"/>
    <x:mergeCell ref="Q19:R19"/>
    <x:mergeCell ref="H20:I20"/>
    <x:mergeCell ref="Q20:R20"/>
    <x:mergeCell ref="D21:E21"/>
    <x:mergeCell ref="F21:I21"/>
    <x:mergeCell ref="K21:N24"/>
    <x:mergeCell ref="O21:R21"/>
    <x:mergeCell ref="B22:E24"/>
    <x:mergeCell ref="F22:I24"/>
    <x:mergeCell ref="O22:R24"/>
    <x:mergeCell ref="B25:I25"/>
    <x:mergeCell ref="K25:R25"/>
    <x:mergeCell ref="B26:I26"/>
    <x:mergeCell ref="K26:R26"/>
    <x:mergeCell ref="H27:I27"/>
    <x:mergeCell ref="Q27:R27"/>
    <x:mergeCell ref="H28:I28"/>
    <x:mergeCell ref="Q28:R28"/>
    <x:mergeCell ref="H29:I29"/>
    <x:mergeCell ref="Q29:R29"/>
    <x:mergeCell ref="H30:I30"/>
    <x:mergeCell ref="Q30:R30"/>
    <x:mergeCell ref="H31:I31"/>
    <x:mergeCell ref="Q31:R31"/>
    <x:mergeCell ref="H32:I32"/>
    <x:mergeCell ref="Q32:R32"/>
    <x:mergeCell ref="H33:I33"/>
    <x:mergeCell ref="Q33:R33"/>
    <x:mergeCell ref="B34:I34"/>
    <x:mergeCell ref="K34:R34"/>
    <x:mergeCell ref="H35:I35"/>
    <x:mergeCell ref="Q35:R35"/>
    <x:mergeCell ref="H36:I36"/>
    <x:mergeCell ref="Q36:R36"/>
    <x:mergeCell ref="H37:I37"/>
    <x:mergeCell ref="Q37:R37"/>
    <x:mergeCell ref="H38:I38"/>
    <x:mergeCell ref="Q38:R38"/>
    <x:mergeCell ref="H39:I39"/>
    <x:mergeCell ref="Q39:R39"/>
    <x:mergeCell ref="H40:I40"/>
    <x:mergeCell ref="Q40:R40"/>
    <x:mergeCell ref="B41:E44"/>
    <x:mergeCell ref="F41:I41"/>
    <x:mergeCell ref="K41:N44"/>
    <x:mergeCell ref="O41:R41"/>
    <x:mergeCell ref="F42:I44"/>
    <x:mergeCell ref="O42:R44"/>
    <x:mergeCell ref="B45:I45"/>
    <x:mergeCell ref="B46:I46"/>
    <x:mergeCell ref="H47:I47"/>
    <x:mergeCell ref="H48:I48"/>
    <x:mergeCell ref="H49:I49"/>
    <x:mergeCell ref="H50:I50"/>
    <x:mergeCell ref="H51:I51"/>
    <x:mergeCell ref="H52:I52"/>
    <x:mergeCell ref="H53:I53"/>
    <x:mergeCell ref="B54:I54"/>
    <x:mergeCell ref="H55:I55"/>
    <x:mergeCell ref="H56:I56"/>
    <x:mergeCell ref="H57:I57"/>
    <x:mergeCell ref="H58:I58"/>
    <x:mergeCell ref="H59:I59"/>
    <x:mergeCell ref="H60:I60"/>
    <x:mergeCell ref="B61:E64"/>
    <x:mergeCell ref="F61:I61"/>
    <x:mergeCell ref="F62:I64"/>
  </x:mergeCells>
  <x:dataValidations count="1">
    <x:dataValidation type="list" errorStyle="stop" operator="between" allowBlank="1" showDropDown="0" showInputMessage="1" showErrorMessage="1" errorTitle="" error="" promptTitle="" prompt="" sqref="E16:E19 N16:N19 E36:E39 N36:N39 E56:E59">
      <x:formula1>"Yes,No"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12">
    <x:outlinePr summaryBelow="1" summaryRight="1"/>
    <x:pageSetUpPr fitToPage="1"/>
  </x:sheetPr>
  <x:dimension ref="A1:G39"/>
  <x:sheetViews>
    <x:sheetView workbookViewId="0">
      <x:selection activeCell="C5" sqref="C5"/>
    </x:sheetView>
  </x:sheetViews>
  <x:sheetFormatPr baseColWidth="10" defaultColWidth="10.832031" defaultRowHeight="16" x14ac:dyDescent="0.2"/>
  <x:cols>
    <x:col min="1" max="1" width="13.164062" style="643" bestFit="1" customWidth="1"/>
    <x:col min="2" max="2" width="44.710625" style="643" bestFit="1" customWidth="1"/>
    <x:col min="3" max="7" width="22.710625" style="643" customWidth="1"/>
    <x:col min="8" max="8" width="29.664062" style="643" bestFit="1" customWidth="1"/>
    <x:col min="9" max="11" width="20.832031" style="643" customWidth="1"/>
    <x:col min="12" max="16384" width="10.832031" style="643" customWidth="1"/>
  </x:cols>
  <x:sheetData>
    <x:row r="1" spans="1:11" ht="29" customHeight="1" x14ac:dyDescent="0.35">
      <x:c r="A1" s="644" t="s">
        <x:v>83</x:v>
      </x:c>
      <x:c r="B1" s="645"/>
      <x:c r="C1" s="645"/>
      <x:c r="D1" s="645"/>
      <x:c r="E1" s="645"/>
      <x:c r="F1" s="645"/>
      <x:c r="G1" s="645"/>
    </x:row>
    <x:row r="2" spans="1:11" ht="17" customHeight="1" x14ac:dyDescent="0.25">
      <x:c r="B2" s="646"/>
      <x:c r="C2" s="646"/>
      <x:c r="D2" s="646"/>
      <x:c r="E2" s="646"/>
      <x:c r="F2" s="645"/>
      <x:c r="G2" s="645"/>
    </x:row>
    <x:row r="3" spans="1:11" ht="17" customHeight="1" x14ac:dyDescent="0.25">
      <x:c r="A3" s="647"/>
      <x:c r="B3" s="648" t="s">
        <x:v>171</x:v>
      </x:c>
      <x:c r="C3" s="649"/>
      <x:c r="D3" s="649"/>
      <x:c r="E3" s="649"/>
      <x:c r="F3" s="649"/>
      <x:c r="G3" s="650"/>
    </x:row>
    <x:row r="4" spans="1:11" ht="35" customHeight="1" x14ac:dyDescent="0.25">
      <x:c r="B4" s="651" t="s">
        <x:v>85</x:v>
      </x:c>
      <x:c r="C4" s="652" t="s">
        <x:v>86</x:v>
      </x:c>
      <x:c r="D4" s="652" t="s">
        <x:v>87</x:v>
      </x:c>
      <x:c r="E4" s="652" t="s">
        <x:v>88</x:v>
      </x:c>
      <x:c r="F4" s="652" t="s">
        <x:v>89</x:v>
      </x:c>
      <x:c r="G4" s="652" t="s">
        <x:v>90</x:v>
      </x:c>
    </x:row>
    <x:row r="5" spans="1:11" x14ac:dyDescent="0.2">
      <x:c r="B5" s="653" t="s">
        <x:v>7</x:v>
      </x:c>
      <x:c r="C5" s="654"/>
      <x:c r="D5" s="655"/>
      <x:c r="E5" s="656"/>
      <x:c r="F5" s="657"/>
      <x:c r="G5" s="658"/>
    </x:row>
    <x:row r="6" spans="1:11" x14ac:dyDescent="0.2">
      <x:c r="B6" s="659" t="s">
        <x:v>10</x:v>
      </x:c>
      <x:c r="C6" s="660"/>
      <x:c r="D6" s="661"/>
      <x:c r="E6" s="662"/>
      <x:c r="F6" s="663"/>
      <x:c r="G6" s="664"/>
    </x:row>
    <x:row r="7" spans="1:11" x14ac:dyDescent="0.2">
      <x:c r="B7" s="659" t="s">
        <x:v>13</x:v>
      </x:c>
      <x:c r="C7" s="660"/>
      <x:c r="D7" s="661"/>
      <x:c r="E7" s="662"/>
      <x:c r="F7" s="663"/>
      <x:c r="G7" s="664"/>
    </x:row>
    <x:row r="8" spans="1:11" x14ac:dyDescent="0.2">
      <x:c r="B8" s="659" t="s">
        <x:v>17</x:v>
      </x:c>
      <x:c r="C8" s="660"/>
      <x:c r="D8" s="661"/>
      <x:c r="E8" s="662"/>
      <x:c r="F8" s="663"/>
      <x:c r="G8" s="664"/>
    </x:row>
    <x:row r="9" spans="1:11" x14ac:dyDescent="0.2">
      <x:c r="B9" s="659" t="s">
        <x:v>20</x:v>
      </x:c>
      <x:c r="C9" s="660"/>
      <x:c r="D9" s="665" t="s">
        <x:v>91</x:v>
      </x:c>
      <x:c r="E9" s="662"/>
      <x:c r="F9" s="662" t="s">
        <x:v>91</x:v>
      </x:c>
      <x:c r="G9" s="664"/>
    </x:row>
    <x:row r="10" spans="1:11" ht="17" customHeight="1" x14ac:dyDescent="0.25">
      <x:c r="B10" s="666" t="s">
        <x:v>92</x:v>
      </x:c>
      <x:c r="C10" s="667"/>
      <x:c r="D10" s="668"/>
      <x:c r="E10" s="669"/>
      <x:c r="F10" s="669" t="s">
        <x:v>91</x:v>
      </x:c>
      <x:c r="G10" s="670"/>
    </x:row>
    <x:row r="11" spans="1:11" ht="17" customHeight="1" x14ac:dyDescent="0.25">
      <x:c r="B11" s="671" t="s">
        <x:v>170</x:v>
      </x:c>
      <x:c r="C11" s="672">
        <x:f>IF(COUNT(C15:C19)=5,SUM(C15:C19),"")</x:f>
        <x:v>70</x:v>
      </x:c>
      <x:c r="D11" s="672"/>
      <x:c r="E11" s="673"/>
      <x:c r="F11" s="673"/>
      <x:c r="G11" s="673"/>
    </x:row>
    <x:row r="12" spans="1:11" x14ac:dyDescent="0.2">
      <x:c r="A12" s="674"/>
      <x:c r="B12" s="675"/>
      <x:c r="C12" s="676"/>
      <x:c r="D12" s="676"/>
      <x:c r="E12" s="675"/>
      <x:c r="F12" s="677"/>
      <x:c r="G12" s="645"/>
    </x:row>
    <x:row r="13" spans="1:11" ht="17" customHeight="1" x14ac:dyDescent="0.25">
      <x:c r="A13" s="674"/>
      <x:c r="B13" s="675"/>
      <x:c r="C13" s="678"/>
      <x:c r="D13" s="678"/>
      <x:c r="E13" s="645"/>
      <x:c r="F13" s="645"/>
      <x:c r="G13" s="645"/>
    </x:row>
    <x:row r="14" spans="1:11" ht="17" customHeight="1" x14ac:dyDescent="0.25">
      <x:c r="A14" s="647"/>
      <x:c r="B14" s="651" t="s">
        <x:v>94</x:v>
      </x:c>
      <x:c r="C14" s="679" t="s">
        <x:v>95</x:v>
      </x:c>
      <x:c r="D14" s="679" t="s">
        <x:v>96</x:v>
      </x:c>
      <x:c r="E14" s="680" t="s">
        <x:v>97</x:v>
      </x:c>
      <x:c r="F14" s="645"/>
      <x:c r="G14" s="645"/>
    </x:row>
    <x:row r="15" spans="1:11" x14ac:dyDescent="0.2">
      <x:c r="B15" s="681" t="s">
        <x:v>98</x:v>
      </x:c>
      <x:c r="C15" s="654">
        <x:f>IF(ISNUMBER('Plan'!B100),'Plan'!B100,"")</x:f>
        <x:v>12</x:v>
      </x:c>
      <x:c r="D15" s="654"/>
      <x:c r="E15" s="682"/>
      <x:c r="F15" s="645"/>
      <x:c r="G15" s="645"/>
    </x:row>
    <x:row r="16" spans="1:11" x14ac:dyDescent="0.2">
      <x:c r="B16" s="683" t="s">
        <x:v>99</x:v>
      </x:c>
      <x:c r="C16" s="654">
        <x:f>IF(ISNUMBER('Design'!B100),'Design'!B100,"")</x:f>
        <x:v>13</x:v>
      </x:c>
      <x:c r="D16" s="654"/>
      <x:c r="E16" s="664"/>
      <x:c r="F16" s="645"/>
      <x:c r="G16" s="645"/>
    </x:row>
    <x:row r="17" spans="1:11" x14ac:dyDescent="0.2">
      <x:c r="B17" s="683" t="s">
        <x:v>100</x:v>
      </x:c>
      <x:c r="C17" s="654">
        <x:f>IF(ISNUMBER('Implement'!B100),'Implement'!B100,"")</x:f>
        <x:v>14</x:v>
      </x:c>
      <x:c r="D17" s="654"/>
      <x:c r="E17" s="664"/>
      <x:c r="F17" s="645"/>
      <x:c r="G17" s="645"/>
    </x:row>
    <x:row r="18" spans="1:11" x14ac:dyDescent="0.2">
      <x:c r="B18" s="683" t="s">
        <x:v>101</x:v>
      </x:c>
      <x:c r="C18" s="654">
        <x:f>IF(ISNUMBER('Validate'!B100),'Validate'!B100,"")</x:f>
        <x:v>15</x:v>
      </x:c>
      <x:c r="D18" s="654"/>
      <x:c r="E18" s="664"/>
      <x:c r="F18" s="645"/>
      <x:c r="G18" s="645"/>
    </x:row>
    <x:row r="19" spans="1:11" ht="17" customHeight="1" x14ac:dyDescent="0.25">
      <x:c r="B19" s="684" t="s">
        <x:v>102</x:v>
      </x:c>
      <x:c r="C19" s="654">
        <x:f>IF(ISNUMBER('Release'!B100),'Release'!B100,"")</x:f>
        <x:v>16</x:v>
      </x:c>
      <x:c r="D19" s="654"/>
      <x:c r="E19" s="670"/>
      <x:c r="F19" s="645"/>
      <x:c r="G19" s="645"/>
    </x:row>
    <x:row r="20" spans="1:11" ht="20" customHeight="1" x14ac:dyDescent="0.3">
      <x:c r="B20" s="685" t="s">
        <x:v>103</x:v>
      </x:c>
      <x:c r="C20" s="686"/>
      <x:c r="D20" s="686"/>
      <x:c r="E20" s="687"/>
      <x:c r="F20" s="645"/>
      <x:c r="G20" s="645"/>
    </x:row>
    <x:row r="21" spans="1:11" x14ac:dyDescent="0.2">
      <x:c r="B21" s="646"/>
      <x:c r="C21" s="678"/>
      <x:c r="D21" s="678"/>
      <x:c r="E21" s="645"/>
      <x:c r="F21" s="645"/>
      <x:c r="G21" s="645"/>
    </x:row>
    <x:row r="22" spans="1:11" ht="17" customHeight="1" x14ac:dyDescent="0.25">
      <x:c r="B22" s="646"/>
      <x:c r="C22" s="678"/>
      <x:c r="D22" s="678"/>
      <x:c r="E22" s="645"/>
      <x:c r="F22" s="645"/>
      <x:c r="G22" s="645"/>
    </x:row>
    <x:row r="23" spans="1:11" ht="17" customHeight="1" x14ac:dyDescent="0.25">
      <x:c r="B23" s="651" t="s">
        <x:v>104</x:v>
      </x:c>
      <x:c r="C23" s="679" t="s">
        <x:v>95</x:v>
      </x:c>
      <x:c r="D23" s="679" t="s">
        <x:v>96</x:v>
      </x:c>
      <x:c r="E23" s="680" t="s">
        <x:v>97</x:v>
      </x:c>
      <x:c r="F23" s="645"/>
      <x:c r="G23" s="645"/>
    </x:row>
    <x:row r="24" spans="1:11" x14ac:dyDescent="0.2">
      <x:c r="B24" s="681" t="s">
        <x:v>105</x:v>
      </x:c>
      <x:c r="C24" s="654">
        <x:f>IF(COUNT(C15:C16,C19)=3,SUM(C15:C16,C19),"")</x:f>
        <x:v>41</x:v>
      </x:c>
      <x:c r="D24" s="654"/>
      <x:c r="E24" s="682"/>
      <x:c r="F24" s="645"/>
      <x:c r="G24" s="645"/>
    </x:row>
    <x:row r="25" spans="1:11" ht="17" customHeight="1" x14ac:dyDescent="0.25">
      <x:c r="A25" s="647"/>
      <x:c r="B25" s="683" t="s">
        <x:v>106</x:v>
      </x:c>
      <x:c r="C25" s="654">
        <x:f>IF(COUNT(C17:C18)=2,SUM(C17:C18),"")</x:f>
        <x:v>29</x:v>
      </x:c>
      <x:c r="D25" s="654"/>
      <x:c r="E25" s="658"/>
      <x:c r="F25" s="645"/>
      <x:c r="G25" s="645"/>
    </x:row>
    <x:row r="26" spans="1:11" ht="20" customHeight="1" x14ac:dyDescent="0.3">
      <x:c r="B26" s="685" t="s">
        <x:v>103</x:v>
      </x:c>
      <x:c r="C26" s="688"/>
      <x:c r="D26" s="688"/>
      <x:c r="E26" s="687"/>
      <x:c r="F26" s="689"/>
      <x:c r="G26" s="689"/>
    </x:row>
    <x:row r="27" spans="1:11" x14ac:dyDescent="0.2">
      <x:c r="B27" s="646"/>
      <x:c r="C27" s="645"/>
      <x:c r="D27" s="645"/>
      <x:c r="E27" s="645"/>
      <x:c r="F27" s="645"/>
      <x:c r="G27" s="645"/>
    </x:row>
    <x:row r="28" spans="1:11" ht="17" customHeight="1" x14ac:dyDescent="0.25">
      <x:c r="B28" s="646"/>
      <x:c r="C28" s="645"/>
      <x:c r="D28" s="645"/>
      <x:c r="E28" s="645"/>
      <x:c r="F28" s="645"/>
      <x:c r="G28" s="645"/>
    </x:row>
    <x:row r="29" spans="1:11" ht="17" customHeight="1" x14ac:dyDescent="0.25">
      <x:c r="B29" s="652" t="s">
        <x:v>84</x:v>
      </x:c>
      <x:c r="C29" s="690"/>
      <x:c r="D29" s="689"/>
      <x:c r="E29" s="645"/>
      <x:c r="F29" s="645"/>
      <x:c r="G29" s="645"/>
    </x:row>
    <x:row r="30" spans="1:11" x14ac:dyDescent="0.2">
      <x:c r="B30" s="681" t="s">
        <x:v>62</x:v>
      </x:c>
      <x:c r="C30" s="682"/>
      <x:c r="D30" s="645"/>
      <x:c r="E30" s="645"/>
      <x:c r="F30" s="645"/>
      <x:c r="G30" s="645"/>
    </x:row>
    <x:row r="31" spans="1:11" x14ac:dyDescent="0.2">
      <x:c r="B31" s="683" t="s">
        <x:v>108</x:v>
      </x:c>
      <x:c r="C31" s="664"/>
      <x:c r="D31" s="645"/>
      <x:c r="E31" s="645"/>
      <x:c r="F31" s="645"/>
      <x:c r="G31" s="645"/>
    </x:row>
    <x:row r="32" spans="1:11" x14ac:dyDescent="0.2">
      <x:c r="B32" s="683" t="s">
        <x:v>109</x:v>
      </x:c>
      <x:c r="C32" s="664"/>
      <x:c r="D32" s="645"/>
      <x:c r="E32" s="645"/>
      <x:c r="F32" s="645"/>
      <x:c r="G32" s="645"/>
    </x:row>
    <x:row r="33" spans="1:11" ht="17" customHeight="1" x14ac:dyDescent="0.25">
      <x:c r="B33" s="684" t="s">
        <x:v>110</x:v>
      </x:c>
      <x:c r="C33" s="670"/>
      <x:c r="D33" s="645"/>
      <x:c r="E33" s="645"/>
      <x:c r="F33" s="645"/>
      <x:c r="G33" s="645"/>
    </x:row>
    <x:row r="34" spans="1:11" ht="20" customHeight="1" x14ac:dyDescent="0.3">
      <x:c r="B34" s="685" t="s">
        <x:v>111</x:v>
      </x:c>
      <x:c r="C34" s="687"/>
      <x:c r="D34" s="645"/>
      <x:c r="E34" s="645"/>
      <x:c r="F34" s="645"/>
      <x:c r="G34" s="645"/>
    </x:row>
    <x:row r="35" spans="1:11" x14ac:dyDescent="0.2">
      <x:c r="D35" s="691"/>
      <x:c r="E35" s="691"/>
    </x:row>
    <x:row r="36" spans="1:11" x14ac:dyDescent="0.2">
      <x:c r="D36" s="691"/>
      <x:c r="E36" s="691"/>
    </x:row>
    <x:row r="37" spans="1:11" x14ac:dyDescent="0.2">
      <x:c r="D37" s="691"/>
      <x:c r="E37" s="691"/>
    </x:row>
    <x:row r="38" spans="1:11" x14ac:dyDescent="0.2">
      <x:c r="D38" s="691"/>
      <x:c r="E38" s="691"/>
    </x:row>
    <x:row r="39" spans="1:11" ht="19" customHeight="1" x14ac:dyDescent="0.25">
      <x:c r="D39" s="692"/>
      <x:c r="E39" s="692"/>
    </x:row>
  </x:sheetData>
  <x:sheetProtection algorithmName="SHA-512" hashValue="dhdXkJ1Ruz+Ageu1ABG99MHlWMtbMvew+rXzj73dXWAwPT6FPFNPFfNG36A66kH1OvepBLfaGGA/vE/bmlmVaw==" saltValue="MkElg4kILPr2loDHyh103Q==" spinCount="100000" sheet="1" formatColumns="0" formatRows="0"/>
  <x:mergeCells count="3">
    <x:mergeCell ref="A1:F1"/>
    <x:mergeCell ref="B3:G3"/>
    <x:mergeCell ref="B29:C29"/>
  </x:mergeCells>
  <x:conditionalFormatting sqref="E20:E20 E26:E26">
    <x:cfRule type="cellIs" dxfId="2" priority="1" operator="greaterThan">
      <x:formula>$G$11</x:formula>
    </x:cfRule>
    <x:cfRule type="cellIs" dxfId="3" priority="2" operator="lessThan">
      <x:formula>$G$11</x:formula>
    </x:cfRule>
    <x:cfRule type="cellIs" dxfId="4" priority="3" operator="equal">
      <x:formula>$G$11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11">
    <x:outlinePr summaryBelow="1" summaryRight="1"/>
    <x:pageSetUpPr fitToPage="1"/>
  </x:sheetPr>
  <x:dimension ref="A1:P37"/>
  <x:sheetViews>
    <x:sheetView workbookViewId="0">
      <x:selection activeCell="C7" sqref="C7"/>
    </x:sheetView>
  </x:sheetViews>
  <x:sheetFormatPr baseColWidth="10" defaultColWidth="10.932847" defaultRowHeight="16" x14ac:dyDescent="0.2"/>
  <x:cols>
    <x:col min="17" max="16384" width="10.932847" style="429" customWidth="1"/>
    <x:col min="1" max="1" width="19.832031" style="429" bestFit="1" customWidth="1"/>
    <x:col min="2" max="2" width="12.664062" style="429" bestFit="1" customWidth="1"/>
    <x:col min="3" max="3" width="8.332031" style="429" bestFit="1" customWidth="1"/>
    <x:col min="4" max="4" width="33" style="429" bestFit="1" customWidth="1"/>
    <x:col min="5" max="5" width="65" style="429" bestFit="1" customWidth="1"/>
    <x:col min="6" max="16" width="10.932847" style="429" customWidth="1"/>
  </x:cols>
  <x:sheetData>
    <x:row r="1" spans="1:16" x14ac:dyDescent="0.2">
      <x:c r="A1" s="693" t="s">
        <x:v>112</x:v>
      </x:c>
    </x:row>
    <x:row r="3" spans="1:16" x14ac:dyDescent="0.2">
      <x:c r="C3" s="694" t="s">
        <x:v>113</x:v>
      </x:c>
      <x:c r="D3" s="694" t="s">
        <x:v>114</x:v>
      </x:c>
      <x:c r="E3" s="695" t="s">
        <x:v>115</x:v>
      </x:c>
    </x:row>
    <x:row r="4" spans="1:16" x14ac:dyDescent="0.2">
      <x:c r="C4" s="696"/>
      <x:c r="D4" s="697" t="s">
        <x:v>116</x:v>
      </x:c>
      <x:c r="E4" s="697"/>
      <x:c r="F4" s="697"/>
      <x:c r="G4" s="697"/>
      <x:c r="H4" s="697"/>
      <x:c r="I4" s="697"/>
    </x:row>
    <x:row r="5" spans="1:16" ht="15" customHeight="1" hidden="1" x14ac:dyDescent="0.2">
      <x:c r="C5" s="540"/>
      <x:c r="D5" s="698" t="s">
        <x:v>117</x:v>
      </x:c>
      <x:c r="E5" s="698"/>
      <x:c r="F5" s="698"/>
      <x:c r="G5" s="698"/>
      <x:c r="H5" s="698"/>
      <x:c r="I5" s="698"/>
    </x:row>
    <x:row r="6" spans="1:16" x14ac:dyDescent="0.2">
      <x:c r="B6" s="699"/>
      <x:c r="C6" s="700"/>
      <x:c r="D6" s="698"/>
      <x:c r="E6" s="698"/>
      <x:c r="F6" s="698"/>
      <x:c r="G6" s="698"/>
      <x:c r="H6" s="698"/>
      <x:c r="I6" s="698"/>
    </x:row>
    <x:row r="7" spans="1:16" x14ac:dyDescent="0.2">
      <x:c r="B7" s="699"/>
      <x:c r="C7" s="700"/>
      <x:c r="D7" s="701"/>
      <x:c r="E7" s="701"/>
      <x:c r="F7" s="701"/>
      <x:c r="G7" s="701"/>
      <x:c r="H7" s="701"/>
      <x:c r="I7" s="701"/>
    </x:row>
    <x:row r="8" spans="1:16" x14ac:dyDescent="0.2">
      <x:c r="B8" s="699"/>
      <x:c r="C8" s="700"/>
      <x:c r="D8" s="701"/>
      <x:c r="E8" s="701"/>
      <x:c r="F8" s="701"/>
      <x:c r="G8" s="701"/>
      <x:c r="H8" s="701"/>
      <x:c r="I8" s="701"/>
    </x:row>
    <x:row r="9" spans="1:16" ht="17" customHeight="1" x14ac:dyDescent="0.2">
      <x:c r="A9" s="702"/>
      <x:c r="B9" s="699"/>
      <x:c r="C9" s="700"/>
      <x:c r="D9" s="701"/>
      <x:c r="E9" s="701"/>
      <x:c r="F9" s="701"/>
      <x:c r="G9" s="701"/>
      <x:c r="H9" s="701"/>
      <x:c r="I9" s="701"/>
    </x:row>
    <x:row r="10" spans="1:16" x14ac:dyDescent="0.2">
      <x:c r="B10" s="691"/>
      <x:c r="C10" s="700"/>
      <x:c r="D10" s="701"/>
      <x:c r="E10" s="701"/>
      <x:c r="F10" s="701"/>
      <x:c r="G10" s="701"/>
      <x:c r="H10" s="701"/>
      <x:c r="I10" s="701"/>
    </x:row>
    <x:row r="11" spans="1:16" x14ac:dyDescent="0.2">
      <x:c r="B11" s="691"/>
      <x:c r="C11" s="700"/>
      <x:c r="D11" s="701"/>
      <x:c r="E11" s="701"/>
      <x:c r="F11" s="701"/>
      <x:c r="G11" s="701"/>
      <x:c r="H11" s="701"/>
      <x:c r="I11" s="701"/>
    </x:row>
    <x:row r="12" spans="1:16" x14ac:dyDescent="0.2">
      <x:c r="B12" s="691"/>
      <x:c r="C12" s="700"/>
      <x:c r="D12" s="701"/>
      <x:c r="E12" s="701"/>
      <x:c r="F12" s="701"/>
      <x:c r="G12" s="701"/>
      <x:c r="H12" s="701"/>
      <x:c r="I12" s="701"/>
    </x:row>
    <x:row r="13" spans="1:16" x14ac:dyDescent="0.2">
      <x:c r="B13" s="691"/>
      <x:c r="C13" s="700"/>
      <x:c r="D13" s="701"/>
      <x:c r="E13" s="701"/>
      <x:c r="F13" s="701"/>
      <x:c r="G13" s="701"/>
      <x:c r="H13" s="701"/>
      <x:c r="I13" s="701"/>
    </x:row>
    <x:row r="14" spans="1:16" x14ac:dyDescent="0.2">
      <x:c r="A14" s="703"/>
      <x:c r="B14" s="691"/>
      <x:c r="C14" s="700"/>
      <x:c r="D14" s="701"/>
      <x:c r="E14" s="701"/>
      <x:c r="F14" s="701"/>
      <x:c r="G14" s="701"/>
      <x:c r="H14" s="701"/>
      <x:c r="I14" s="701"/>
    </x:row>
    <x:row r="15" spans="1:16" x14ac:dyDescent="0.2">
      <x:c r="A15" s="703"/>
      <x:c r="B15" s="691"/>
      <x:c r="C15" s="700"/>
      <x:c r="D15" s="701"/>
      <x:c r="E15" s="701"/>
      <x:c r="F15" s="701"/>
      <x:c r="G15" s="701"/>
      <x:c r="H15" s="701"/>
      <x:c r="I15" s="701"/>
    </x:row>
    <x:row r="16" spans="1:16" x14ac:dyDescent="0.2">
      <x:c r="A16" s="703"/>
      <x:c r="B16" s="691"/>
      <x:c r="C16" s="700"/>
      <x:c r="D16" s="701"/>
      <x:c r="E16" s="701"/>
      <x:c r="F16" s="701"/>
      <x:c r="G16" s="701"/>
      <x:c r="H16" s="701"/>
      <x:c r="I16" s="701"/>
    </x:row>
    <x:row r="17" spans="1:16" x14ac:dyDescent="0.2">
      <x:c r="A17" s="703"/>
      <x:c r="B17" s="691"/>
      <x:c r="C17" s="700"/>
      <x:c r="D17" s="701"/>
      <x:c r="E17" s="701"/>
      <x:c r="F17" s="701"/>
      <x:c r="G17" s="701"/>
      <x:c r="H17" s="701"/>
      <x:c r="I17" s="701"/>
    </x:row>
    <x:row r="18" spans="1:16" x14ac:dyDescent="0.2">
      <x:c r="B18" s="691"/>
      <x:c r="C18" s="700"/>
      <x:c r="D18" s="701"/>
      <x:c r="E18" s="701"/>
      <x:c r="F18" s="701"/>
      <x:c r="G18" s="701"/>
      <x:c r="H18" s="701"/>
      <x:c r="I18" s="701"/>
    </x:row>
    <x:row r="19" spans="1:16" x14ac:dyDescent="0.2">
      <x:c r="B19" s="478"/>
      <x:c r="C19" s="704"/>
      <x:c r="D19" s="705"/>
      <x:c r="E19" s="705"/>
      <x:c r="F19" s="705"/>
      <x:c r="G19" s="705"/>
      <x:c r="H19" s="705"/>
      <x:c r="I19" s="705"/>
    </x:row>
    <x:row r="20" spans="1:16" x14ac:dyDescent="0.2">
      <x:c r="B20" s="699"/>
      <x:c r="C20" s="700"/>
      <x:c r="D20" s="701"/>
      <x:c r="E20" s="701"/>
      <x:c r="F20" s="701"/>
      <x:c r="G20" s="701"/>
      <x:c r="H20" s="701"/>
      <x:c r="I20" s="701"/>
    </x:row>
    <x:row r="21" spans="1:16" x14ac:dyDescent="0.2">
      <x:c r="B21" s="699"/>
      <x:c r="C21" s="700"/>
      <x:c r="D21" s="701"/>
      <x:c r="E21" s="701"/>
      <x:c r="F21" s="701"/>
      <x:c r="G21" s="701"/>
      <x:c r="H21" s="701"/>
      <x:c r="I21" s="701"/>
    </x:row>
    <x:row r="22" spans="1:16" x14ac:dyDescent="0.2">
      <x:c r="B22" s="699"/>
      <x:c r="C22" s="700"/>
      <x:c r="D22" s="701"/>
      <x:c r="E22" s="701"/>
      <x:c r="F22" s="701"/>
      <x:c r="G22" s="701"/>
      <x:c r="H22" s="701"/>
      <x:c r="I22" s="701"/>
    </x:row>
    <x:row r="23" spans="1:16" ht="17" customHeight="1" x14ac:dyDescent="0.2">
      <x:c r="A23" s="702"/>
      <x:c r="B23" s="699"/>
      <x:c r="C23" s="700"/>
      <x:c r="D23" s="701"/>
      <x:c r="E23" s="701"/>
      <x:c r="F23" s="701"/>
      <x:c r="G23" s="701"/>
      <x:c r="H23" s="701"/>
      <x:c r="I23" s="701"/>
    </x:row>
    <x:row r="24" spans="1:16" x14ac:dyDescent="0.2">
      <x:c r="B24" s="691"/>
      <x:c r="C24" s="700"/>
      <x:c r="D24" s="701"/>
      <x:c r="E24" s="701"/>
      <x:c r="F24" s="706"/>
      <x:c r="G24" s="706"/>
      <x:c r="H24" s="706"/>
      <x:c r="I24" s="706"/>
    </x:row>
    <x:row r="25" spans="1:16" s="522" customFormat="1" x14ac:dyDescent="0.2">
      <x:c r="B25" s="691"/>
      <x:c r="C25" s="700"/>
      <x:c r="D25" s="701"/>
      <x:c r="E25" s="701"/>
      <x:c r="F25" s="701"/>
      <x:c r="G25" s="701"/>
      <x:c r="H25" s="701"/>
      <x:c r="I25" s="701"/>
    </x:row>
    <x:row r="26" spans="1:16" x14ac:dyDescent="0.2">
      <x:c r="B26" s="691"/>
      <x:c r="C26" s="700"/>
      <x:c r="D26" s="701"/>
      <x:c r="E26" s="701"/>
      <x:c r="F26" s="701"/>
      <x:c r="G26" s="701"/>
      <x:c r="H26" s="701"/>
      <x:c r="I26" s="701"/>
    </x:row>
    <x:row r="27" spans="1:16" x14ac:dyDescent="0.2">
      <x:c r="B27" s="691"/>
      <x:c r="C27" s="700"/>
      <x:c r="D27" s="701"/>
      <x:c r="E27" s="701"/>
      <x:c r="F27" s="701"/>
      <x:c r="G27" s="701"/>
      <x:c r="H27" s="701"/>
      <x:c r="I27" s="701"/>
    </x:row>
    <x:row r="28" spans="1:16" x14ac:dyDescent="0.2">
      <x:c r="A28" s="703"/>
      <x:c r="B28" s="691"/>
      <x:c r="C28" s="700"/>
      <x:c r="D28" s="701"/>
      <x:c r="E28" s="701"/>
      <x:c r="F28" s="701"/>
      <x:c r="G28" s="701"/>
      <x:c r="H28" s="701"/>
      <x:c r="I28" s="701"/>
    </x:row>
    <x:row r="29" spans="1:16" x14ac:dyDescent="0.2">
      <x:c r="A29" s="703"/>
      <x:c r="B29" s="691"/>
      <x:c r="C29" s="700"/>
      <x:c r="D29" s="701"/>
      <x:c r="E29" s="701"/>
      <x:c r="F29" s="701"/>
      <x:c r="G29" s="701"/>
      <x:c r="H29" s="701"/>
      <x:c r="I29" s="701"/>
    </x:row>
    <x:row r="30" spans="1:16" x14ac:dyDescent="0.2">
      <x:c r="A30" s="703"/>
      <x:c r="B30" s="691"/>
      <x:c r="C30" s="700"/>
      <x:c r="D30" s="701"/>
      <x:c r="E30" s="701"/>
      <x:c r="F30" s="701"/>
      <x:c r="G30" s="701"/>
      <x:c r="H30" s="701"/>
      <x:c r="I30" s="701"/>
    </x:row>
    <x:row r="31" spans="1:16" x14ac:dyDescent="0.2">
      <x:c r="A31" s="703"/>
      <x:c r="B31" s="691"/>
      <x:c r="C31" s="700"/>
      <x:c r="D31" s="701"/>
      <x:c r="E31" s="701"/>
      <x:c r="F31" s="701"/>
      <x:c r="G31" s="701"/>
      <x:c r="H31" s="701"/>
      <x:c r="I31" s="701"/>
    </x:row>
    <x:row r="32" spans="1:16" x14ac:dyDescent="0.2">
      <x:c r="B32" s="691"/>
      <x:c r="C32" s="700"/>
      <x:c r="D32" s="701"/>
      <x:c r="E32" s="701"/>
      <x:c r="F32" s="701"/>
      <x:c r="G32" s="701"/>
      <x:c r="H32" s="701"/>
      <x:c r="I32" s="701"/>
    </x:row>
    <x:row r="33" spans="1:16" x14ac:dyDescent="0.2">
      <x:c r="F33" s="701"/>
      <x:c r="G33" s="701"/>
      <x:c r="H33" s="701"/>
      <x:c r="I33" s="701"/>
    </x:row>
    <x:row r="34" spans="1:16" x14ac:dyDescent="0.2">
      <x:c r="F34" s="701"/>
      <x:c r="G34" s="701"/>
      <x:c r="H34" s="701"/>
      <x:c r="I34" s="701"/>
    </x:row>
    <x:row r="35" spans="1:16" hidden="1" x14ac:dyDescent="0.2">
      <x:c r="F35" s="701"/>
      <x:c r="G35" s="701"/>
      <x:c r="H35" s="701"/>
      <x:c r="I35" s="701"/>
    </x:row>
    <x:row r="36" spans="1:16" x14ac:dyDescent="0.2">
      <x:c r="J36" s="701"/>
      <x:c r="K36" s="701"/>
      <x:c r="L36" s="701"/>
      <x:c r="M36" s="701"/>
      <x:c r="N36" s="701"/>
      <x:c r="O36" s="701"/>
    </x:row>
    <x:row r="37" spans="1:16" hidden="1" x14ac:dyDescent="0.2">
      <x:c r="P37" s="701"/>
    </x:row>
  </x:sheetData>
  <x:sheetProtection algorithmName="SHA-512" hashValue="RffH0VsB9+G/nS0daC8NhXM3aG9O2iSpeQ2ibbgejBN6OE2EyJFMjNBMzC0b/hG2BBicKiznlXaO/RHF35qHHQ==" saltValue="uQdiAee4Hv7DmMD4vh9dgw==" spinCount="100000" sheet="1" objects="1"/>
  <x:mergeCells count="4">
    <x:mergeCell ref="A1:I2"/>
    <x:mergeCell ref="E3:I3"/>
    <x:mergeCell ref="D4:I4"/>
    <x:mergeCell ref="D5:I6"/>
  </x:mergeCells>
  <x:conditionalFormatting sqref="C5:C32">
    <x:cfRule type="cellIs" dxfId="5" priority="1" operator="greaterThan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2">
    <x:tabColor theme="9" tint="0.3999755851924192"/>
    <x:outlinePr summaryBelow="1" summaryRight="1"/>
    <x:pageSetUpPr fitToPage="1"/>
  </x:sheetPr>
  <x:dimension ref="A1:G122"/>
  <x:sheetViews>
    <x:sheetView workbookViewId="0">
      <x:pane xSplit="0" ySplit="3" topLeftCell="A4" activePane="bottomLeft" state="frozenSplit"/>
      <x:selection activeCell="B8" sqref="B8 A6:B8"/>
      <x:selection pane="bottomLeft" activeCell="B8" sqref="B8 A6:B8"/>
    </x:sheetView>
  </x:sheetViews>
  <x:sheetFormatPr baseColWidth="10" defaultColWidth="11.155069" defaultRowHeight="16" x14ac:dyDescent="0.2"/>
  <x:cols>
    <x:col min="8" max="16384" width="11.155069" style="707" customWidth="1"/>
    <x:col min="1" max="1" width="60.710625" style="707" customWidth="1"/>
    <x:col min="2" max="4" width="12.710625" style="708" customWidth="1"/>
    <x:col min="5" max="5" width="22.710625" style="707" bestFit="1" customWidth="1"/>
    <x:col min="6" max="6" width="18.710625" style="707" customWidth="1"/>
    <x:col min="7" max="7" width="50.710625" style="707" customWidth="1"/>
  </x:cols>
  <x:sheetData>
    <x:row r="1" spans="1:7" ht="45" customHeight="1" x14ac:dyDescent="0.2">
      <x:c r="A1" s="709" t="s">
        <x:v>118</x:v>
      </x:c>
      <x:c r="B1" s="710" t="s">
        <x:v>139</x:v>
      </x:c>
      <x:c r="C1" s="710" t="s">
        <x:v>140</x:v>
      </x:c>
      <x:c r="D1" s="710" t="s">
        <x:v>121</x:v>
      </x:c>
      <x:c r="E1" s="709" t="s">
        <x:v>122</x:v>
      </x:c>
      <x:c r="F1" s="709" t="s">
        <x:v>123</x:v>
      </x:c>
      <x:c r="G1" s="709" t="s">
        <x:v>124</x:v>
      </x:c>
    </x:row>
    <x:row r="2" spans="1:7" ht="32" customHeight="1" x14ac:dyDescent="0.2">
      <x:c r="A2" s="711" t="s">
        <x:v>31</x:v>
      </x:c>
      <x:c r="B2" s="712"/>
      <x:c r="C2" s="712"/>
      <x:c r="D2" s="712"/>
      <x:c r="E2" s="713"/>
      <x:c r="F2" s="713"/>
      <x:c r="G2" s="714" t="s">
        <x:v>141</x:v>
      </x:c>
    </x:row>
    <x:row r="3" spans="1:7" ht="32" customHeight="1" x14ac:dyDescent="0.2">
      <x:c r="A3" s="715" t="s">
        <x:v>142</x:v>
      </x:c>
      <x:c r="B3" s="712"/>
      <x:c r="C3" s="712"/>
      <x:c r="D3" s="712"/>
      <x:c r="E3" s="713"/>
      <x:c r="F3" s="713"/>
      <x:c r="G3" s="716"/>
    </x:row>
    <x:row r="4" spans="1:7" ht="32" customHeight="1" x14ac:dyDescent="0.2">
      <x:c r="A4" s="717" t="s">
        <x:v>143</x:v>
      </x:c>
      <x:c r="B4" s="718">
        <x:v>12</x:v>
      </x:c>
      <x:c r="C4" s="718"/>
      <x:c r="D4" s="719"/>
      <x:c r="E4" s="720"/>
      <x:c r="F4" s="721"/>
      <x:c r="G4" s="722" t="s">
        <x:v>144</x:v>
      </x:c>
    </x:row>
    <x:row r="5" spans="1:7" ht="32" customHeight="1" x14ac:dyDescent="0.2">
      <x:c r="A5" s="723" t="s">
        <x:v>145</x:v>
      </x:c>
      <x:c r="B5" s="718"/>
      <x:c r="C5" s="718"/>
      <x:c r="D5" s="719"/>
      <x:c r="E5" s="724"/>
      <x:c r="F5" s="721"/>
      <x:c r="G5" s="725"/>
    </x:row>
    <x:row r="6" spans="1:7" ht="32" customHeight="1" x14ac:dyDescent="0.2">
      <x:c r="A6" s="723" t="s">
        <x:v>146</x:v>
      </x:c>
      <x:c r="B6" s="718"/>
      <x:c r="C6" s="718"/>
      <x:c r="D6" s="719"/>
      <x:c r="E6" s="724"/>
      <x:c r="F6" s="721"/>
      <x:c r="G6" s="722"/>
    </x:row>
    <x:row r="7" spans="1:7" ht="32" customHeight="1" x14ac:dyDescent="0.2">
      <x:c r="A7" s="726" t="s">
        <x:v>147</x:v>
      </x:c>
      <x:c r="B7" s="718"/>
      <x:c r="C7" s="718"/>
      <x:c r="D7" s="719"/>
      <x:c r="E7" s="724"/>
      <x:c r="F7" s="721"/>
      <x:c r="G7" s="725"/>
    </x:row>
    <x:row r="8" spans="1:7" x14ac:dyDescent="0.2">
      <x:c r="A8" s="726"/>
      <x:c r="B8" s="718"/>
      <x:c r="C8" s="718"/>
      <x:c r="D8" s="719"/>
      <x:c r="E8" s="724"/>
      <x:c r="F8" s="721"/>
      <x:c r="G8" s="725"/>
    </x:row>
    <x:row r="9" spans="1:7" x14ac:dyDescent="0.2">
      <x:c r="A9" s="726"/>
      <x:c r="B9" s="718"/>
      <x:c r="C9" s="718"/>
      <x:c r="D9" s="719"/>
      <x:c r="E9" s="724"/>
      <x:c r="F9" s="721"/>
      <x:c r="G9" s="725"/>
    </x:row>
    <x:row r="10" spans="1:7" x14ac:dyDescent="0.2">
      <x:c r="A10" s="726"/>
      <x:c r="B10" s="718"/>
      <x:c r="C10" s="718"/>
      <x:c r="D10" s="719"/>
      <x:c r="E10" s="724"/>
      <x:c r="F10" s="721"/>
      <x:c r="G10" s="725"/>
    </x:row>
    <x:row r="11" spans="1:7" x14ac:dyDescent="0.2">
      <x:c r="A11" s="727"/>
      <x:c r="B11" s="718"/>
      <x:c r="C11" s="718"/>
      <x:c r="D11" s="719"/>
      <x:c r="E11" s="724"/>
      <x:c r="F11" s="721"/>
      <x:c r="G11" s="725"/>
    </x:row>
    <x:row r="12" spans="1:7" x14ac:dyDescent="0.2">
      <x:c r="A12" s="723"/>
      <x:c r="B12" s="718"/>
      <x:c r="C12" s="718"/>
      <x:c r="D12" s="719"/>
      <x:c r="E12" s="724"/>
      <x:c r="F12" s="721"/>
      <x:c r="G12" s="725"/>
    </x:row>
    <x:row r="13" spans="1:7" x14ac:dyDescent="0.2">
      <x:c r="A13" s="721"/>
      <x:c r="B13" s="718"/>
      <x:c r="C13" s="718"/>
      <x:c r="D13" s="719"/>
      <x:c r="E13" s="724"/>
      <x:c r="F13" s="721"/>
      <x:c r="G13" s="725"/>
    </x:row>
    <x:row r="14" spans="1:7" x14ac:dyDescent="0.2">
      <x:c r="A14" s="721"/>
      <x:c r="B14" s="718"/>
      <x:c r="C14" s="718"/>
      <x:c r="D14" s="719"/>
      <x:c r="E14" s="724"/>
      <x:c r="F14" s="721"/>
      <x:c r="G14" s="725"/>
    </x:row>
    <x:row r="15" spans="1:7" x14ac:dyDescent="0.2">
      <x:c r="A15" s="728"/>
      <x:c r="B15" s="718"/>
      <x:c r="C15" s="718"/>
      <x:c r="D15" s="719"/>
      <x:c r="E15" s="724"/>
      <x:c r="F15" s="721"/>
      <x:c r="G15" s="725"/>
    </x:row>
    <x:row r="16" spans="1:7" x14ac:dyDescent="0.2">
      <x:c r="A16" s="721"/>
      <x:c r="B16" s="718"/>
      <x:c r="C16" s="718"/>
      <x:c r="D16" s="719"/>
      <x:c r="E16" s="724"/>
      <x:c r="F16" s="721"/>
      <x:c r="G16" s="725"/>
    </x:row>
    <x:row r="17" spans="1:7" x14ac:dyDescent="0.2">
      <x:c r="A17" s="721"/>
      <x:c r="B17" s="718"/>
      <x:c r="C17" s="718"/>
      <x:c r="D17" s="719"/>
      <x:c r="E17" s="724"/>
      <x:c r="F17" s="721"/>
      <x:c r="G17" s="725"/>
    </x:row>
    <x:row r="18" spans="1:7" x14ac:dyDescent="0.2">
      <x:c r="A18" s="717"/>
      <x:c r="B18" s="718"/>
      <x:c r="C18" s="718"/>
      <x:c r="D18" s="719"/>
      <x:c r="E18" s="724"/>
      <x:c r="F18" s="721"/>
      <x:c r="G18" s="725"/>
    </x:row>
    <x:row r="19" spans="1:7" x14ac:dyDescent="0.2">
      <x:c r="A19" s="717"/>
      <x:c r="B19" s="718"/>
      <x:c r="C19" s="718"/>
      <x:c r="D19" s="719"/>
      <x:c r="E19" s="724"/>
      <x:c r="F19" s="721"/>
      <x:c r="G19" s="725"/>
    </x:row>
    <x:row r="20" spans="1:7" x14ac:dyDescent="0.2">
      <x:c r="A20" s="721"/>
      <x:c r="B20" s="718"/>
      <x:c r="C20" s="718"/>
      <x:c r="D20" s="719"/>
      <x:c r="E20" s="724"/>
      <x:c r="F20" s="721"/>
      <x:c r="G20" s="725"/>
    </x:row>
    <x:row r="21" spans="1:7" x14ac:dyDescent="0.2">
      <x:c r="A21" s="728"/>
      <x:c r="B21" s="718"/>
      <x:c r="C21" s="718"/>
      <x:c r="D21" s="719"/>
      <x:c r="E21" s="724"/>
      <x:c r="F21" s="721"/>
      <x:c r="G21" s="725"/>
    </x:row>
    <x:row r="22" spans="1:7" x14ac:dyDescent="0.2">
      <x:c r="A22" s="728"/>
      <x:c r="B22" s="718"/>
      <x:c r="C22" s="718"/>
      <x:c r="D22" s="719"/>
      <x:c r="E22" s="724"/>
      <x:c r="F22" s="721"/>
      <x:c r="G22" s="725"/>
    </x:row>
    <x:row r="23" spans="1:7" x14ac:dyDescent="0.2">
      <x:c r="A23" s="728"/>
      <x:c r="B23" s="718"/>
      <x:c r="C23" s="718"/>
      <x:c r="D23" s="719"/>
      <x:c r="E23" s="724"/>
      <x:c r="F23" s="721"/>
      <x:c r="G23" s="725"/>
    </x:row>
    <x:row r="24" spans="1:7" x14ac:dyDescent="0.2">
      <x:c r="A24" s="728"/>
      <x:c r="B24" s="718"/>
      <x:c r="C24" s="718"/>
      <x:c r="D24" s="719"/>
      <x:c r="E24" s="724"/>
      <x:c r="F24" s="721"/>
      <x:c r="G24" s="725"/>
    </x:row>
    <x:row r="25" spans="1:7" x14ac:dyDescent="0.2">
      <x:c r="A25" s="728"/>
      <x:c r="B25" s="718"/>
      <x:c r="C25" s="718"/>
      <x:c r="D25" s="719"/>
      <x:c r="E25" s="724"/>
      <x:c r="F25" s="721"/>
      <x:c r="G25" s="725"/>
    </x:row>
    <x:row r="26" spans="1:7" x14ac:dyDescent="0.2">
      <x:c r="A26" s="728"/>
      <x:c r="B26" s="718"/>
      <x:c r="C26" s="718"/>
      <x:c r="D26" s="719"/>
      <x:c r="E26" s="724"/>
      <x:c r="F26" s="721"/>
      <x:c r="G26" s="725"/>
    </x:row>
    <x:row r="27" spans="1:7" x14ac:dyDescent="0.2">
      <x:c r="A27" s="728"/>
      <x:c r="B27" s="718"/>
      <x:c r="C27" s="718"/>
      <x:c r="D27" s="719"/>
      <x:c r="E27" s="724"/>
      <x:c r="F27" s="721"/>
      <x:c r="G27" s="725"/>
    </x:row>
    <x:row r="28" spans="1:7" x14ac:dyDescent="0.2">
      <x:c r="A28" s="728"/>
      <x:c r="B28" s="718"/>
      <x:c r="C28" s="718"/>
      <x:c r="D28" s="719"/>
      <x:c r="E28" s="724"/>
      <x:c r="F28" s="721"/>
      <x:c r="G28" s="725"/>
    </x:row>
    <x:row r="29" spans="1:7" x14ac:dyDescent="0.2">
      <x:c r="A29" s="728"/>
      <x:c r="B29" s="718"/>
      <x:c r="C29" s="718"/>
      <x:c r="D29" s="719"/>
      <x:c r="E29" s="724"/>
      <x:c r="F29" s="721"/>
      <x:c r="G29" s="725"/>
    </x:row>
    <x:row r="30" spans="1:7" x14ac:dyDescent="0.2">
      <x:c r="A30" s="729"/>
      <x:c r="B30" s="718"/>
      <x:c r="C30" s="718"/>
      <x:c r="D30" s="719"/>
      <x:c r="E30" s="724"/>
      <x:c r="F30" s="721"/>
      <x:c r="G30" s="725"/>
    </x:row>
    <x:row r="31" spans="1:7" x14ac:dyDescent="0.2">
      <x:c r="A31" s="717"/>
      <x:c r="B31" s="718"/>
      <x:c r="C31" s="718"/>
      <x:c r="D31" s="719"/>
      <x:c r="E31" s="724"/>
      <x:c r="F31" s="721"/>
      <x:c r="G31" s="725"/>
    </x:row>
    <x:row r="32" spans="1:7" x14ac:dyDescent="0.2">
      <x:c r="A32" s="717"/>
      <x:c r="B32" s="718"/>
      <x:c r="C32" s="718"/>
      <x:c r="D32" s="719"/>
      <x:c r="E32" s="724"/>
      <x:c r="F32" s="721"/>
      <x:c r="G32" s="725"/>
    </x:row>
    <x:row r="33" spans="1:7" x14ac:dyDescent="0.2">
      <x:c r="A33" s="717"/>
      <x:c r="B33" s="718"/>
      <x:c r="C33" s="718"/>
      <x:c r="D33" s="719"/>
      <x:c r="E33" s="724"/>
      <x:c r="F33" s="721"/>
      <x:c r="G33" s="725"/>
    </x:row>
    <x:row r="34" spans="1:7" x14ac:dyDescent="0.2">
      <x:c r="A34" s="717"/>
      <x:c r="B34" s="718"/>
      <x:c r="C34" s="718"/>
      <x:c r="D34" s="719"/>
      <x:c r="E34" s="724"/>
      <x:c r="F34" s="721"/>
      <x:c r="G34" s="725"/>
    </x:row>
    <x:row r="35" spans="1:7" x14ac:dyDescent="0.2">
      <x:c r="A35" s="717"/>
      <x:c r="B35" s="718"/>
      <x:c r="C35" s="718"/>
      <x:c r="D35" s="719"/>
      <x:c r="E35" s="724"/>
      <x:c r="F35" s="721"/>
      <x:c r="G35" s="725"/>
    </x:row>
    <x:row r="36" spans="1:7" x14ac:dyDescent="0.2">
      <x:c r="A36" s="717"/>
      <x:c r="B36" s="718"/>
      <x:c r="C36" s="718"/>
      <x:c r="D36" s="719"/>
      <x:c r="E36" s="724"/>
      <x:c r="F36" s="721"/>
      <x:c r="G36" s="725"/>
    </x:row>
    <x:row r="37" spans="1:7" x14ac:dyDescent="0.2">
      <x:c r="A37" s="717"/>
      <x:c r="B37" s="718"/>
      <x:c r="C37" s="718"/>
      <x:c r="D37" s="719"/>
      <x:c r="E37" s="724"/>
      <x:c r="F37" s="721"/>
      <x:c r="G37" s="725"/>
    </x:row>
    <x:row r="38" spans="1:7" x14ac:dyDescent="0.2">
      <x:c r="A38" s="717"/>
      <x:c r="B38" s="718"/>
      <x:c r="C38" s="718"/>
      <x:c r="D38" s="719"/>
      <x:c r="E38" s="724"/>
      <x:c r="F38" s="721"/>
      <x:c r="G38" s="725"/>
    </x:row>
    <x:row r="39" spans="1:7" x14ac:dyDescent="0.2">
      <x:c r="A39" s="717"/>
      <x:c r="B39" s="718"/>
      <x:c r="C39" s="718"/>
      <x:c r="D39" s="719"/>
      <x:c r="E39" s="724"/>
      <x:c r="F39" s="721"/>
      <x:c r="G39" s="725"/>
    </x:row>
    <x:row r="40" spans="1:7" x14ac:dyDescent="0.2">
      <x:c r="A40" s="717"/>
      <x:c r="B40" s="718"/>
      <x:c r="C40" s="718"/>
      <x:c r="D40" s="719"/>
      <x:c r="E40" s="724"/>
      <x:c r="F40" s="721"/>
      <x:c r="G40" s="725"/>
    </x:row>
    <x:row r="41" spans="1:7" x14ac:dyDescent="0.2">
      <x:c r="A41" s="717"/>
      <x:c r="B41" s="718"/>
      <x:c r="C41" s="718"/>
      <x:c r="D41" s="719"/>
      <x:c r="E41" s="724"/>
      <x:c r="F41" s="721"/>
      <x:c r="G41" s="725"/>
    </x:row>
    <x:row r="42" spans="1:7" x14ac:dyDescent="0.2">
      <x:c r="A42" s="717"/>
      <x:c r="B42" s="718"/>
      <x:c r="C42" s="718"/>
      <x:c r="D42" s="719"/>
      <x:c r="E42" s="724"/>
      <x:c r="F42" s="721"/>
      <x:c r="G42" s="725"/>
    </x:row>
    <x:row r="43" spans="1:7" x14ac:dyDescent="0.2">
      <x:c r="A43" s="717"/>
      <x:c r="B43" s="718"/>
      <x:c r="C43" s="718"/>
      <x:c r="D43" s="719"/>
      <x:c r="E43" s="724"/>
      <x:c r="F43" s="721"/>
      <x:c r="G43" s="725"/>
    </x:row>
    <x:row r="44" spans="1:7" x14ac:dyDescent="0.2">
      <x:c r="A44" s="717"/>
      <x:c r="B44" s="718"/>
      <x:c r="C44" s="718"/>
      <x:c r="D44" s="719"/>
      <x:c r="E44" s="724"/>
      <x:c r="F44" s="721"/>
      <x:c r="G44" s="725"/>
    </x:row>
    <x:row r="45" spans="1:7" x14ac:dyDescent="0.2">
      <x:c r="A45" s="717"/>
      <x:c r="B45" s="718"/>
      <x:c r="C45" s="718"/>
      <x:c r="D45" s="719"/>
      <x:c r="E45" s="724"/>
      <x:c r="F45" s="721"/>
      <x:c r="G45" s="725"/>
    </x:row>
    <x:row r="46" spans="1:7" x14ac:dyDescent="0.2">
      <x:c r="A46" s="717"/>
      <x:c r="B46" s="718"/>
      <x:c r="C46" s="718"/>
      <x:c r="D46" s="719"/>
      <x:c r="E46" s="724"/>
      <x:c r="F46" s="721"/>
      <x:c r="G46" s="725"/>
    </x:row>
    <x:row r="47" spans="1:7" x14ac:dyDescent="0.2">
      <x:c r="A47" s="717"/>
      <x:c r="B47" s="718"/>
      <x:c r="C47" s="718"/>
      <x:c r="D47" s="719"/>
      <x:c r="E47" s="724"/>
      <x:c r="F47" s="721"/>
      <x:c r="G47" s="725"/>
    </x:row>
    <x:row r="48" spans="1:7" x14ac:dyDescent="0.2">
      <x:c r="A48" s="717"/>
      <x:c r="B48" s="718"/>
      <x:c r="C48" s="718"/>
      <x:c r="D48" s="719"/>
      <x:c r="E48" s="724"/>
      <x:c r="F48" s="721"/>
      <x:c r="G48" s="725"/>
    </x:row>
    <x:row r="49" spans="1:7" x14ac:dyDescent="0.2">
      <x:c r="A49" s="717"/>
      <x:c r="B49" s="718"/>
      <x:c r="C49" s="718"/>
      <x:c r="D49" s="719"/>
      <x:c r="E49" s="724"/>
      <x:c r="F49" s="721"/>
      <x:c r="G49" s="725"/>
    </x:row>
    <x:row r="50" spans="1:7" x14ac:dyDescent="0.2">
      <x:c r="A50" s="717"/>
      <x:c r="B50" s="718"/>
      <x:c r="C50" s="718"/>
      <x:c r="D50" s="719"/>
      <x:c r="E50" s="724"/>
      <x:c r="F50" s="721"/>
      <x:c r="G50" s="725"/>
    </x:row>
    <x:row r="51" spans="1:7" x14ac:dyDescent="0.2">
      <x:c r="A51" s="717"/>
      <x:c r="B51" s="718"/>
      <x:c r="C51" s="718"/>
      <x:c r="D51" s="719"/>
      <x:c r="E51" s="724"/>
      <x:c r="F51" s="721"/>
      <x:c r="G51" s="725"/>
    </x:row>
    <x:row r="52" spans="1:7" x14ac:dyDescent="0.2">
      <x:c r="A52" s="717"/>
      <x:c r="B52" s="718"/>
      <x:c r="C52" s="718"/>
      <x:c r="D52" s="719"/>
      <x:c r="E52" s="724"/>
      <x:c r="F52" s="721"/>
      <x:c r="G52" s="725"/>
    </x:row>
    <x:row r="53" spans="1:7" x14ac:dyDescent="0.2">
      <x:c r="A53" s="717"/>
      <x:c r="B53" s="718"/>
      <x:c r="C53" s="718"/>
      <x:c r="D53" s="719"/>
      <x:c r="E53" s="724"/>
      <x:c r="F53" s="721"/>
      <x:c r="G53" s="725"/>
    </x:row>
    <x:row r="54" spans="1:7" x14ac:dyDescent="0.2">
      <x:c r="A54" s="717"/>
      <x:c r="B54" s="718"/>
      <x:c r="C54" s="718"/>
      <x:c r="D54" s="719"/>
      <x:c r="E54" s="724"/>
      <x:c r="F54" s="721"/>
      <x:c r="G54" s="725"/>
    </x:row>
    <x:row r="55" spans="1:7" x14ac:dyDescent="0.2">
      <x:c r="A55" s="717"/>
      <x:c r="B55" s="718"/>
      <x:c r="C55" s="718"/>
      <x:c r="D55" s="719"/>
      <x:c r="E55" s="724"/>
      <x:c r="F55" s="721"/>
      <x:c r="G55" s="725"/>
    </x:row>
    <x:row r="56" spans="1:7" x14ac:dyDescent="0.2">
      <x:c r="A56" s="717"/>
      <x:c r="B56" s="718"/>
      <x:c r="C56" s="718"/>
      <x:c r="D56" s="719"/>
      <x:c r="E56" s="724"/>
      <x:c r="F56" s="721"/>
      <x:c r="G56" s="725"/>
    </x:row>
    <x:row r="57" spans="1:7" x14ac:dyDescent="0.2">
      <x:c r="A57" s="717"/>
      <x:c r="B57" s="718"/>
      <x:c r="C57" s="718"/>
      <x:c r="D57" s="719"/>
      <x:c r="E57" s="724"/>
      <x:c r="F57" s="721"/>
      <x:c r="G57" s="725"/>
    </x:row>
    <x:row r="58" spans="1:7" x14ac:dyDescent="0.2">
      <x:c r="A58" s="717"/>
      <x:c r="B58" s="718"/>
      <x:c r="C58" s="718"/>
      <x:c r="D58" s="719"/>
      <x:c r="E58" s="724"/>
      <x:c r="F58" s="721"/>
      <x:c r="G58" s="725"/>
    </x:row>
    <x:row r="59" spans="1:7" x14ac:dyDescent="0.2">
      <x:c r="A59" s="717"/>
      <x:c r="B59" s="718"/>
      <x:c r="C59" s="718"/>
      <x:c r="D59" s="719"/>
      <x:c r="E59" s="724"/>
      <x:c r="F59" s="721"/>
      <x:c r="G59" s="725"/>
    </x:row>
    <x:row r="60" spans="1:7" x14ac:dyDescent="0.2">
      <x:c r="A60" s="717"/>
      <x:c r="B60" s="718"/>
      <x:c r="C60" s="718"/>
      <x:c r="D60" s="719"/>
      <x:c r="E60" s="724"/>
      <x:c r="F60" s="721"/>
      <x:c r="G60" s="725"/>
    </x:row>
    <x:row r="61" spans="1:7" x14ac:dyDescent="0.2">
      <x:c r="A61" s="717"/>
      <x:c r="B61" s="718"/>
      <x:c r="C61" s="718"/>
      <x:c r="D61" s="719"/>
      <x:c r="E61" s="724"/>
      <x:c r="F61" s="721"/>
      <x:c r="G61" s="725"/>
    </x:row>
    <x:row r="62" spans="1:7" x14ac:dyDescent="0.2">
      <x:c r="A62" s="717"/>
      <x:c r="B62" s="718"/>
      <x:c r="C62" s="718"/>
      <x:c r="D62" s="719"/>
      <x:c r="E62" s="724"/>
      <x:c r="F62" s="721"/>
      <x:c r="G62" s="725"/>
    </x:row>
    <x:row r="63" spans="1:7" x14ac:dyDescent="0.2">
      <x:c r="A63" s="717"/>
      <x:c r="B63" s="718"/>
      <x:c r="C63" s="718"/>
      <x:c r="D63" s="719"/>
      <x:c r="E63" s="724"/>
      <x:c r="F63" s="721"/>
      <x:c r="G63" s="725"/>
    </x:row>
    <x:row r="64" spans="1:7" x14ac:dyDescent="0.2">
      <x:c r="A64" s="717"/>
      <x:c r="B64" s="718"/>
      <x:c r="C64" s="718"/>
      <x:c r="D64" s="719"/>
      <x:c r="E64" s="724"/>
      <x:c r="F64" s="721"/>
      <x:c r="G64" s="725"/>
    </x:row>
    <x:row r="65" spans="1:7" x14ac:dyDescent="0.2">
      <x:c r="A65" s="717"/>
      <x:c r="B65" s="718"/>
      <x:c r="C65" s="718"/>
      <x:c r="D65" s="719"/>
      <x:c r="E65" s="724"/>
      <x:c r="F65" s="721"/>
      <x:c r="G65" s="725"/>
    </x:row>
    <x:row r="66" spans="1:7" x14ac:dyDescent="0.2">
      <x:c r="A66" s="717"/>
      <x:c r="B66" s="718"/>
      <x:c r="C66" s="718"/>
      <x:c r="D66" s="719"/>
      <x:c r="E66" s="724"/>
      <x:c r="F66" s="721"/>
      <x:c r="G66" s="725"/>
    </x:row>
    <x:row r="67" spans="1:7" x14ac:dyDescent="0.2">
      <x:c r="A67" s="717"/>
      <x:c r="B67" s="718"/>
      <x:c r="C67" s="718"/>
      <x:c r="D67" s="719"/>
      <x:c r="E67" s="724"/>
      <x:c r="F67" s="721"/>
      <x:c r="G67" s="725"/>
    </x:row>
    <x:row r="68" spans="1:7" x14ac:dyDescent="0.2">
      <x:c r="A68" s="717"/>
      <x:c r="B68" s="718"/>
      <x:c r="C68" s="718"/>
      <x:c r="D68" s="719"/>
      <x:c r="E68" s="724"/>
      <x:c r="F68" s="721"/>
      <x:c r="G68" s="725"/>
    </x:row>
    <x:row r="69" spans="1:7" x14ac:dyDescent="0.2">
      <x:c r="A69" s="717"/>
      <x:c r="B69" s="718"/>
      <x:c r="C69" s="718"/>
      <x:c r="D69" s="719"/>
      <x:c r="E69" s="724"/>
      <x:c r="F69" s="721"/>
      <x:c r="G69" s="725"/>
    </x:row>
    <x:row r="70" spans="1:7" x14ac:dyDescent="0.2">
      <x:c r="A70" s="717"/>
      <x:c r="B70" s="718"/>
      <x:c r="C70" s="718"/>
      <x:c r="D70" s="719"/>
      <x:c r="E70" s="724"/>
      <x:c r="F70" s="721"/>
      <x:c r="G70" s="725"/>
    </x:row>
    <x:row r="71" spans="1:7" x14ac:dyDescent="0.2">
      <x:c r="A71" s="717"/>
      <x:c r="B71" s="718"/>
      <x:c r="C71" s="718"/>
      <x:c r="D71" s="719"/>
      <x:c r="E71" s="724"/>
      <x:c r="F71" s="721"/>
      <x:c r="G71" s="725"/>
    </x:row>
    <x:row r="72" spans="1:7" x14ac:dyDescent="0.2">
      <x:c r="A72" s="717"/>
      <x:c r="B72" s="718"/>
      <x:c r="C72" s="718"/>
      <x:c r="D72" s="719"/>
      <x:c r="E72" s="724"/>
      <x:c r="F72" s="721"/>
      <x:c r="G72" s="725"/>
    </x:row>
    <x:row r="73" spans="1:7" x14ac:dyDescent="0.2">
      <x:c r="A73" s="717"/>
      <x:c r="B73" s="718"/>
      <x:c r="C73" s="718"/>
      <x:c r="D73" s="719"/>
      <x:c r="E73" s="724"/>
      <x:c r="F73" s="721"/>
      <x:c r="G73" s="725"/>
    </x:row>
    <x:row r="74" spans="1:7" x14ac:dyDescent="0.2">
      <x:c r="A74" s="717"/>
      <x:c r="B74" s="718"/>
      <x:c r="C74" s="718"/>
      <x:c r="D74" s="719"/>
      <x:c r="E74" s="724"/>
      <x:c r="F74" s="721"/>
      <x:c r="G74" s="725"/>
    </x:row>
    <x:row r="75" spans="1:7" x14ac:dyDescent="0.2">
      <x:c r="A75" s="717"/>
      <x:c r="B75" s="718"/>
      <x:c r="C75" s="718"/>
      <x:c r="D75" s="719"/>
      <x:c r="E75" s="724"/>
      <x:c r="F75" s="721"/>
      <x:c r="G75" s="725"/>
    </x:row>
    <x:row r="76" spans="1:7" x14ac:dyDescent="0.2">
      <x:c r="A76" s="717"/>
      <x:c r="B76" s="718"/>
      <x:c r="C76" s="718"/>
      <x:c r="D76" s="719"/>
      <x:c r="E76" s="724"/>
      <x:c r="F76" s="721"/>
      <x:c r="G76" s="725"/>
    </x:row>
    <x:row r="77" spans="1:7" x14ac:dyDescent="0.2">
      <x:c r="A77" s="717"/>
      <x:c r="B77" s="718"/>
      <x:c r="C77" s="718"/>
      <x:c r="D77" s="719"/>
      <x:c r="E77" s="724"/>
      <x:c r="F77" s="721"/>
      <x:c r="G77" s="725"/>
    </x:row>
    <x:row r="78" spans="1:7" x14ac:dyDescent="0.2">
      <x:c r="A78" s="717"/>
      <x:c r="B78" s="718"/>
      <x:c r="C78" s="718"/>
      <x:c r="D78" s="719"/>
      <x:c r="E78" s="724"/>
      <x:c r="F78" s="721"/>
      <x:c r="G78" s="725"/>
    </x:row>
    <x:row r="79" spans="1:7" x14ac:dyDescent="0.2">
      <x:c r="A79" s="717"/>
      <x:c r="B79" s="718"/>
      <x:c r="C79" s="718"/>
      <x:c r="D79" s="719"/>
      <x:c r="E79" s="724"/>
      <x:c r="F79" s="721"/>
      <x:c r="G79" s="725"/>
    </x:row>
    <x:row r="80" spans="1:7" x14ac:dyDescent="0.2">
      <x:c r="A80" s="717"/>
      <x:c r="B80" s="718"/>
      <x:c r="C80" s="718"/>
      <x:c r="D80" s="719"/>
      <x:c r="E80" s="724"/>
      <x:c r="F80" s="721"/>
      <x:c r="G80" s="725"/>
    </x:row>
    <x:row r="81" spans="1:7" x14ac:dyDescent="0.2">
      <x:c r="A81" s="717"/>
      <x:c r="B81" s="718"/>
      <x:c r="C81" s="718"/>
      <x:c r="D81" s="719"/>
      <x:c r="E81" s="724"/>
      <x:c r="F81" s="721"/>
      <x:c r="G81" s="725"/>
    </x:row>
    <x:row r="82" spans="1:7" x14ac:dyDescent="0.2">
      <x:c r="A82" s="717"/>
      <x:c r="B82" s="718"/>
      <x:c r="C82" s="718"/>
      <x:c r="D82" s="719"/>
      <x:c r="E82" s="724"/>
      <x:c r="F82" s="721"/>
      <x:c r="G82" s="725"/>
    </x:row>
    <x:row r="83" spans="1:7" x14ac:dyDescent="0.2">
      <x:c r="A83" s="717"/>
      <x:c r="B83" s="718"/>
      <x:c r="C83" s="718"/>
      <x:c r="D83" s="719"/>
      <x:c r="E83" s="724"/>
      <x:c r="F83" s="721"/>
      <x:c r="G83" s="725"/>
    </x:row>
    <x:row r="84" spans="1:7" x14ac:dyDescent="0.2">
      <x:c r="A84" s="717"/>
      <x:c r="B84" s="718"/>
      <x:c r="C84" s="718"/>
      <x:c r="D84" s="719"/>
      <x:c r="E84" s="724"/>
      <x:c r="F84" s="721"/>
      <x:c r="G84" s="725"/>
    </x:row>
    <x:row r="85" spans="1:7" x14ac:dyDescent="0.2">
      <x:c r="A85" s="717"/>
      <x:c r="B85" s="718"/>
      <x:c r="C85" s="718"/>
      <x:c r="D85" s="719"/>
      <x:c r="E85" s="724"/>
      <x:c r="F85" s="721"/>
      <x:c r="G85" s="725"/>
    </x:row>
    <x:row r="86" spans="1:7" x14ac:dyDescent="0.2">
      <x:c r="A86" s="717"/>
      <x:c r="B86" s="718"/>
      <x:c r="C86" s="718"/>
      <x:c r="D86" s="719"/>
      <x:c r="E86" s="724"/>
      <x:c r="F86" s="721"/>
      <x:c r="G86" s="725"/>
    </x:row>
    <x:row r="87" spans="1:7" x14ac:dyDescent="0.2">
      <x:c r="A87" s="717"/>
      <x:c r="B87" s="718"/>
      <x:c r="C87" s="718"/>
      <x:c r="D87" s="719"/>
      <x:c r="E87" s="724"/>
      <x:c r="F87" s="721"/>
      <x:c r="G87" s="725"/>
    </x:row>
    <x:row r="88" spans="1:7" x14ac:dyDescent="0.2">
      <x:c r="A88" s="717"/>
      <x:c r="B88" s="718"/>
      <x:c r="C88" s="718"/>
      <x:c r="D88" s="719"/>
      <x:c r="E88" s="724"/>
      <x:c r="F88" s="721"/>
      <x:c r="G88" s="725"/>
    </x:row>
    <x:row r="89" spans="1:7" x14ac:dyDescent="0.2">
      <x:c r="A89" s="717"/>
      <x:c r="B89" s="718"/>
      <x:c r="C89" s="718"/>
      <x:c r="D89" s="719"/>
      <x:c r="E89" s="724"/>
      <x:c r="F89" s="721"/>
      <x:c r="G89" s="725"/>
    </x:row>
    <x:row r="90" spans="1:7" x14ac:dyDescent="0.2">
      <x:c r="A90" s="717"/>
      <x:c r="B90" s="718"/>
      <x:c r="C90" s="718"/>
      <x:c r="D90" s="719"/>
      <x:c r="E90" s="724"/>
      <x:c r="F90" s="721"/>
      <x:c r="G90" s="725"/>
    </x:row>
    <x:row r="91" spans="1:7" x14ac:dyDescent="0.2">
      <x:c r="A91" s="717"/>
      <x:c r="B91" s="718"/>
      <x:c r="C91" s="718"/>
      <x:c r="D91" s="719"/>
      <x:c r="E91" s="724"/>
      <x:c r="F91" s="721"/>
      <x:c r="G91" s="725"/>
    </x:row>
    <x:row r="92" spans="1:7" x14ac:dyDescent="0.2">
      <x:c r="A92" s="717"/>
      <x:c r="B92" s="718"/>
      <x:c r="C92" s="718"/>
      <x:c r="D92" s="719"/>
      <x:c r="E92" s="724"/>
      <x:c r="F92" s="721"/>
      <x:c r="G92" s="725"/>
    </x:row>
    <x:row r="93" spans="1:7" x14ac:dyDescent="0.2">
      <x:c r="A93" s="717"/>
      <x:c r="B93" s="718"/>
      <x:c r="C93" s="718"/>
      <x:c r="D93" s="719"/>
      <x:c r="E93" s="724"/>
      <x:c r="F93" s="721"/>
      <x:c r="G93" s="725"/>
    </x:row>
    <x:row r="94" spans="1:7" x14ac:dyDescent="0.2">
      <x:c r="A94" s="717"/>
      <x:c r="B94" s="718"/>
      <x:c r="C94" s="718"/>
      <x:c r="D94" s="719"/>
      <x:c r="E94" s="724"/>
      <x:c r="F94" s="721"/>
      <x:c r="G94" s="725"/>
    </x:row>
    <x:row r="95" spans="1:7" x14ac:dyDescent="0.2">
      <x:c r="A95" s="717"/>
      <x:c r="B95" s="718"/>
      <x:c r="C95" s="718"/>
      <x:c r="D95" s="719"/>
      <x:c r="E95" s="724"/>
      <x:c r="F95" s="721"/>
      <x:c r="G95" s="725"/>
    </x:row>
    <x:row r="96" spans="1:7" x14ac:dyDescent="0.2">
      <x:c r="A96" s="717"/>
      <x:c r="B96" s="718"/>
      <x:c r="C96" s="718"/>
      <x:c r="D96" s="719"/>
      <x:c r="E96" s="724"/>
      <x:c r="F96" s="721"/>
      <x:c r="G96" s="725"/>
    </x:row>
    <x:row r="97" spans="1:7" x14ac:dyDescent="0.2">
      <x:c r="A97" s="717"/>
      <x:c r="B97" s="718"/>
      <x:c r="C97" s="718"/>
      <x:c r="D97" s="719"/>
      <x:c r="E97" s="724"/>
      <x:c r="F97" s="721"/>
      <x:c r="G97" s="725"/>
    </x:row>
    <x:row r="98" spans="1:7" x14ac:dyDescent="0.2">
      <x:c r="A98" s="717"/>
      <x:c r="B98" s="718"/>
      <x:c r="C98" s="718"/>
      <x:c r="D98" s="719"/>
      <x:c r="E98" s="724"/>
      <x:c r="F98" s="721"/>
      <x:c r="G98" s="725"/>
    </x:row>
    <x:row r="99" spans="1:7" x14ac:dyDescent="0.2">
      <x:c r="A99" s="717"/>
      <x:c r="B99" s="718"/>
      <x:c r="C99" s="718"/>
      <x:c r="D99" s="719"/>
      <x:c r="E99" s="730"/>
      <x:c r="F99" s="721"/>
      <x:c r="G99" s="725"/>
    </x:row>
    <x:row r="100" spans="1:7">
      <x:c r="A100" s="716" t="s">
        <x:v>148</x:v>
      </x:c>
      <x:c r="B100" s="719">
        <x:f>SUM(B4:B99)</x:f>
        <x:v>12</x:v>
      </x:c>
      <x:c r="C100" s="719"/>
      <x:c r="D100" s="719"/>
      <x:c r="E100" s="716"/>
      <x:c r="F100" s="716"/>
      <x:c r="G100" s="716"/>
    </x:row>
    <x:row r="101" spans="1:7" ht="34" customHeight="1" x14ac:dyDescent="0.2">
      <x:c r="A101" s="731" t="s">
        <x:v>125</x:v>
      </x:c>
      <x:c r="B101" s="710" t="s">
        <x:v>119</x:v>
      </x:c>
      <x:c r="C101" s="710" t="s">
        <x:v>120</x:v>
      </x:c>
      <x:c r="D101" s="710" t="s">
        <x:v>126</x:v>
      </x:c>
      <x:c r="E101" s="709"/>
      <x:c r="F101" s="732"/>
    </x:row>
    <x:row r="102" spans="1:7" x14ac:dyDescent="0.2">
      <x:c r="A102" s="733" t="str">
        <x:f>Summary!V4</x:f>
        <x:v>BA/Dev/Arch</x:v>
      </x:c>
      <x:c r="B102" s="708"/>
      <x:c r="C102" s="708"/>
      <x:c r="D102" s="708"/>
      <x:c r="E102" s="734"/>
      <x:c r="F102" s="734"/>
    </x:row>
    <x:row r="103" spans="1:7" x14ac:dyDescent="0.2">
      <x:c r="A103" s="733" t="str">
        <x:f>Summary!V5</x:f>
        <x:v>SME</x:v>
      </x:c>
      <x:c r="B103" s="708"/>
      <x:c r="C103" s="708"/>
      <x:c r="D103" s="708"/>
      <x:c r="E103" s="734"/>
      <x:c r="F103" s="734"/>
    </x:row>
    <x:row r="104" spans="1:7" x14ac:dyDescent="0.2">
      <x:c r="A104" s="733" t="str">
        <x:f>Summary!V6</x:f>
        <x:v>Consulting Eng</x:v>
      </x:c>
      <x:c r="B104" s="708"/>
      <x:c r="C104" s="708"/>
      <x:c r="D104" s="708"/>
      <x:c r="E104" s="734"/>
      <x:c r="F104" s="734"/>
    </x:row>
    <x:row r="105" spans="1:7" x14ac:dyDescent="0.2">
      <x:c r="A105" s="733" t="str">
        <x:f>Summary!V7</x:f>
        <x:v>Associate Eng</x:v>
      </x:c>
      <x:c r="B105" s="708"/>
      <x:c r="C105" s="708"/>
      <x:c r="D105" s="708"/>
    </x:row>
    <x:row r="106" spans="1:7" x14ac:dyDescent="0.2">
      <x:c r="A106" s="735" t="s">
        <x:v>127</x:v>
      </x:c>
      <x:c r="B106" s="736"/>
      <x:c r="C106" s="736"/>
      <x:c r="D106" s="736"/>
    </x:row>
    <x:row r="108" spans="1:7" ht="34" customHeight="1" x14ac:dyDescent="0.2">
      <x:c r="A108" s="731" t="s">
        <x:v>128</x:v>
      </x:c>
      <x:c r="B108" s="710"/>
      <x:c r="C108" s="710"/>
      <x:c r="D108" s="710"/>
      <x:c r="E108" s="709" t="s">
        <x:v>93</x:v>
      </x:c>
    </x:row>
    <x:row r="109" spans="1:7" x14ac:dyDescent="0.2">
      <x:c r="A109" s="733" t="str">
        <x:f>Summary!V4</x:f>
        <x:v>BA/Dev/Arch</x:v>
      </x:c>
      <x:c r="B109" s="708"/>
      <x:c r="C109" s="708"/>
      <x:c r="D109" s="708"/>
      <x:c r="E109" s="734">
        <x:f>SUM(B109:D109)</x:f>
        <x:v>0</x:v>
      </x:c>
      <x:c r="F109" s="737"/>
    </x:row>
    <x:row r="110" spans="1:7" x14ac:dyDescent="0.2">
      <x:c r="A110" s="733" t="str">
        <x:f>Summary!V5</x:f>
        <x:v>SME</x:v>
      </x:c>
      <x:c r="B110" s="708"/>
      <x:c r="C110" s="708"/>
      <x:c r="D110" s="708"/>
      <x:c r="E110" s="734">
        <x:f>SUM(B110:D110)</x:f>
        <x:v>0</x:v>
      </x:c>
      <x:c r="F110" s="732"/>
    </x:row>
    <x:row r="111" spans="1:7" x14ac:dyDescent="0.2">
      <x:c r="A111" s="733" t="str">
        <x:f>Summary!V6</x:f>
        <x:v>Consulting Eng</x:v>
      </x:c>
      <x:c r="B111" s="708"/>
      <x:c r="C111" s="708"/>
      <x:c r="D111" s="708"/>
      <x:c r="E111" s="734">
        <x:f>SUM(B111:D111)</x:f>
        <x:v>0</x:v>
      </x:c>
      <x:c r="F111" s="734"/>
    </x:row>
    <x:row r="112" spans="1:7" x14ac:dyDescent="0.2">
      <x:c r="A112" s="733" t="str">
        <x:f>Summary!V7</x:f>
        <x:v>Associate Eng</x:v>
      </x:c>
      <x:c r="B112" s="708"/>
      <x:c r="C112" s="708"/>
      <x:c r="D112" s="708"/>
      <x:c r="E112" s="734">
        <x:f>SUM(B112:D112)</x:f>
        <x:v>0</x:v>
      </x:c>
      <x:c r="F112" s="734"/>
    </x:row>
    <x:row r="113" spans="1:7" x14ac:dyDescent="0.2">
      <x:c r="A113" s="735" t="s">
        <x:v>129</x:v>
      </x:c>
      <x:c r="B113" s="736"/>
      <x:c r="C113" s="736"/>
      <x:c r="D113" s="736"/>
      <x:c r="E113" s="738">
        <x:f>SUM(E109:E112)</x:f>
        <x:v>0</x:v>
      </x:c>
      <x:c r="F113" s="734"/>
    </x:row>
    <x:row r="114" spans="1:7" x14ac:dyDescent="0.2">
      <x:c r="F114" s="737"/>
    </x:row>
    <x:row r="115" spans="1:7" ht="34" customHeight="1" x14ac:dyDescent="0.2">
      <x:c r="A115" s="731" t="s">
        <x:v>130</x:v>
      </x:c>
      <x:c r="B115" s="710"/>
      <x:c r="C115" s="710"/>
      <x:c r="D115" s="710"/>
      <x:c r="E115" s="737"/>
    </x:row>
    <x:row r="116" spans="1:7" x14ac:dyDescent="0.2">
      <x:c r="A116" s="733" t="str">
        <x:f>Summary!V4</x:f>
        <x:v>BA/Dev/Arch</x:v>
      </x:c>
      <x:c r="B116" s="708"/>
      <x:c r="C116" s="708"/>
      <x:c r="D116" s="708"/>
      <x:c r="E116" s="737"/>
    </x:row>
    <x:row r="117" spans="1:7" x14ac:dyDescent="0.2">
      <x:c r="A117" s="733" t="str">
        <x:f>Summary!V5</x:f>
        <x:v>SME</x:v>
      </x:c>
      <x:c r="B117" s="708"/>
      <x:c r="C117" s="708"/>
      <x:c r="D117" s="708"/>
      <x:c r="E117" s="737"/>
    </x:row>
    <x:row r="118" spans="1:7" x14ac:dyDescent="0.2">
      <x:c r="A118" s="733" t="str">
        <x:f>Summary!V6</x:f>
        <x:v>Consulting Eng</x:v>
      </x:c>
      <x:c r="B118" s="708"/>
      <x:c r="C118" s="708"/>
      <x:c r="D118" s="708"/>
      <x:c r="E118" s="737"/>
    </x:row>
    <x:row r="119" spans="1:7" x14ac:dyDescent="0.2">
      <x:c r="A119" s="733" t="str">
        <x:f>Summary!V7</x:f>
        <x:v>Associate Eng</x:v>
      </x:c>
      <x:c r="B119" s="708"/>
      <x:c r="C119" s="708"/>
      <x:c r="D119" s="708"/>
      <x:c r="E119" s="737"/>
    </x:row>
    <x:row r="120" spans="1:7" x14ac:dyDescent="0.2">
      <x:c r="A120" s="735" t="s">
        <x:v>131</x:v>
      </x:c>
      <x:c r="B120" s="736">
        <x:f>SUM(B116:B119)</x:f>
        <x:v>0</x:v>
      </x:c>
      <x:c r="C120" s="736">
        <x:f>SUM(C116:C119)</x:f>
        <x:v>0</x:v>
      </x:c>
      <x:c r="D120" s="736">
        <x:f>SUM(D116:D119)</x:f>
        <x:v>0</x:v>
      </x:c>
      <x:c r="E120" s="739"/>
    </x:row>
    <x:row r="121" spans="1:7" x14ac:dyDescent="0.2">
      <x:c r="F121" s="739"/>
    </x:row>
    <x:row r="122" spans="1:7" x14ac:dyDescent="0.2">
      <x:c r="F122" s="737"/>
    </x:row>
  </x:sheetData>
  <x:sheetProtection algorithmName="SHA-512" hashValue="F7jcV6UGvRPDPQpID523TXZyfVrHQV6hhweZpm62MzXMKesqIYP+/UuzluQ05dN9x4jgL49RW9Rgo3O2D0OPRQ==" saltValue="hga7y24feZMexHUGFSWbiQ==" spinCount="100000" sheet="1" formatCells="0" formatColumns="0" formatRows="0" insertHyperlinks="0" selectLockedCells="1"/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99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 verticalDpi="360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3">
    <x:tabColor theme="8" tint="0.3999755851924192"/>
    <x:outlinePr summaryBelow="1" summaryRight="1"/>
    <x:pageSetUpPr fitToPage="1"/>
  </x:sheetPr>
  <x:dimension ref="A1:G120"/>
  <x:sheetViews>
    <x:sheetView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baseColWidth="10" defaultColWidth="11.155069" defaultRowHeight="16" x14ac:dyDescent="0.2"/>
  <x:cols>
    <x:col min="8" max="16384" width="11.155069" style="707" customWidth="1"/>
    <x:col min="1" max="1" width="60.710625" style="707" customWidth="1"/>
    <x:col min="2" max="4" width="12.710625" style="708" customWidth="1"/>
    <x:col min="5" max="5" width="22.710625" style="707" bestFit="1" customWidth="1"/>
    <x:col min="6" max="6" width="18.710625" style="707" customWidth="1"/>
    <x:col min="7" max="7" width="50.710625" style="707" customWidth="1"/>
  </x:cols>
  <x:sheetData>
    <x:row r="1" spans="1:7" ht="45" customHeight="1" x14ac:dyDescent="0.2">
      <x:c r="A1" s="709" t="s">
        <x:v>118</x:v>
      </x:c>
      <x:c r="B1" s="710" t="s">
        <x:v>139</x:v>
      </x:c>
      <x:c r="C1" s="710" t="s">
        <x:v>140</x:v>
      </x:c>
      <x:c r="D1" s="710" t="s">
        <x:v>121</x:v>
      </x:c>
      <x:c r="E1" s="709" t="s">
        <x:v>122</x:v>
      </x:c>
      <x:c r="F1" s="709" t="s">
        <x:v>123</x:v>
      </x:c>
      <x:c r="G1" s="709" t="s">
        <x:v>124</x:v>
      </x:c>
    </x:row>
    <x:row r="2" spans="1:7" ht="32" customHeight="1" x14ac:dyDescent="0.2">
      <x:c r="A2" s="740" t="s">
        <x:v>150</x:v>
      </x:c>
      <x:c r="B2" s="712"/>
      <x:c r="C2" s="712"/>
      <x:c r="D2" s="712"/>
      <x:c r="E2" s="713"/>
      <x:c r="F2" s="713"/>
      <x:c r="G2" s="714" t="s">
        <x:v>141</x:v>
      </x:c>
    </x:row>
    <x:row r="3" spans="1:7" ht="32" customHeight="1" x14ac:dyDescent="0.2">
      <x:c r="A3" s="715" t="s">
        <x:v>142</x:v>
      </x:c>
      <x:c r="B3" s="712"/>
      <x:c r="C3" s="712"/>
      <x:c r="D3" s="712"/>
      <x:c r="E3" s="713"/>
      <x:c r="F3" s="713"/>
      <x:c r="G3" s="716"/>
    </x:row>
    <x:row r="4" spans="1:7" ht="32" customHeight="1" x14ac:dyDescent="0.2">
      <x:c r="A4" s="723" t="s">
        <x:v>151</x:v>
      </x:c>
      <x:c r="B4" s="718">
        <x:v>13</x:v>
      </x:c>
      <x:c r="C4" s="718"/>
      <x:c r="D4" s="719"/>
      <x:c r="E4" s="720"/>
      <x:c r="F4" s="741"/>
      <x:c r="G4" s="725" t="s">
        <x:v>144</x:v>
      </x:c>
    </x:row>
    <x:row r="5" spans="1:7" ht="32" customHeight="1" x14ac:dyDescent="0.2">
      <x:c r="A5" s="742" t="s">
        <x:v>152</x:v>
      </x:c>
      <x:c r="B5" s="743"/>
      <x:c r="C5" s="718"/>
      <x:c r="D5" s="719"/>
      <x:c r="E5" s="724"/>
      <x:c r="F5" s="741"/>
      <x:c r="G5" s="725"/>
    </x:row>
    <x:row r="6" spans="1:7" ht="32" customHeight="1" x14ac:dyDescent="0.2">
      <x:c r="A6" s="742" t="s">
        <x:v>153</x:v>
      </x:c>
      <x:c r="B6" s="743"/>
      <x:c r="C6" s="718"/>
      <x:c r="D6" s="719"/>
      <x:c r="E6" s="724"/>
      <x:c r="F6" s="741"/>
      <x:c r="G6" s="725"/>
    </x:row>
    <x:row r="7" spans="1:7" ht="32" customHeight="1" x14ac:dyDescent="0.2">
      <x:c r="A7" s="742" t="s">
        <x:v>154</x:v>
      </x:c>
      <x:c r="B7" s="743"/>
      <x:c r="C7" s="718"/>
      <x:c r="D7" s="719"/>
      <x:c r="E7" s="724"/>
      <x:c r="F7" s="741"/>
      <x:c r="G7" s="725"/>
    </x:row>
    <x:row r="8" spans="1:7" x14ac:dyDescent="0.2">
      <x:c r="A8" s="742"/>
      <x:c r="B8" s="743"/>
      <x:c r="C8" s="718"/>
      <x:c r="D8" s="719"/>
      <x:c r="E8" s="724"/>
      <x:c r="F8" s="741"/>
      <x:c r="G8" s="725"/>
    </x:row>
    <x:row r="9" spans="1:7" x14ac:dyDescent="0.2">
      <x:c r="A9" s="742"/>
      <x:c r="B9" s="743"/>
      <x:c r="C9" s="718"/>
      <x:c r="D9" s="719"/>
      <x:c r="E9" s="724"/>
      <x:c r="F9" s="741"/>
      <x:c r="G9" s="725"/>
    </x:row>
    <x:row r="10" spans="1:7" x14ac:dyDescent="0.2">
      <x:c r="A10" s="742"/>
      <x:c r="B10" s="743"/>
      <x:c r="C10" s="718"/>
      <x:c r="D10" s="719"/>
      <x:c r="E10" s="724"/>
      <x:c r="F10" s="741"/>
      <x:c r="G10" s="725"/>
    </x:row>
    <x:row r="11" spans="1:7" x14ac:dyDescent="0.2">
      <x:c r="A11" s="723"/>
      <x:c r="B11" s="718"/>
      <x:c r="C11" s="718"/>
      <x:c r="D11" s="719"/>
      <x:c r="E11" s="724"/>
      <x:c r="F11" s="741"/>
      <x:c r="G11" s="725"/>
    </x:row>
    <x:row r="12" spans="1:7" x14ac:dyDescent="0.2">
      <x:c r="A12" s="723"/>
      <x:c r="B12" s="718"/>
      <x:c r="C12" s="718"/>
      <x:c r="D12" s="719"/>
      <x:c r="E12" s="724"/>
      <x:c r="F12" s="741"/>
      <x:c r="G12" s="725"/>
    </x:row>
    <x:row r="13" spans="1:7" x14ac:dyDescent="0.2">
      <x:c r="A13" s="723"/>
      <x:c r="B13" s="718"/>
      <x:c r="C13" s="718"/>
      <x:c r="D13" s="719"/>
      <x:c r="E13" s="724"/>
      <x:c r="F13" s="741"/>
      <x:c r="G13" s="725"/>
    </x:row>
    <x:row r="14" spans="1:7" x14ac:dyDescent="0.2">
      <x:c r="A14" s="723"/>
      <x:c r="B14" s="718"/>
      <x:c r="C14" s="718"/>
      <x:c r="D14" s="719"/>
      <x:c r="E14" s="724"/>
      <x:c r="F14" s="741"/>
      <x:c r="G14" s="725"/>
    </x:row>
    <x:row r="15" spans="1:7" x14ac:dyDescent="0.2">
      <x:c r="A15" s="723"/>
      <x:c r="B15" s="718"/>
      <x:c r="C15" s="718"/>
      <x:c r="D15" s="719"/>
      <x:c r="E15" s="724"/>
      <x:c r="F15" s="741"/>
      <x:c r="G15" s="725"/>
    </x:row>
    <x:row r="16" spans="1:7" x14ac:dyDescent="0.2">
      <x:c r="A16" s="723"/>
      <x:c r="B16" s="718"/>
      <x:c r="C16" s="718"/>
      <x:c r="D16" s="719"/>
      <x:c r="E16" s="724"/>
      <x:c r="F16" s="741"/>
      <x:c r="G16" s="725"/>
    </x:row>
    <x:row r="17" spans="1:7" x14ac:dyDescent="0.2">
      <x:c r="A17" s="723"/>
      <x:c r="B17" s="718"/>
      <x:c r="C17" s="718"/>
      <x:c r="D17" s="719"/>
      <x:c r="E17" s="724"/>
      <x:c r="F17" s="741"/>
      <x:c r="G17" s="725"/>
    </x:row>
    <x:row r="18" spans="1:7" x14ac:dyDescent="0.2">
      <x:c r="A18" s="723"/>
      <x:c r="B18" s="718"/>
      <x:c r="C18" s="718"/>
      <x:c r="D18" s="719"/>
      <x:c r="E18" s="724"/>
      <x:c r="F18" s="741"/>
      <x:c r="G18" s="725"/>
    </x:row>
    <x:row r="19" spans="1:7" x14ac:dyDescent="0.2">
      <x:c r="A19" s="723"/>
      <x:c r="B19" s="718"/>
      <x:c r="C19" s="718"/>
      <x:c r="D19" s="719"/>
      <x:c r="E19" s="724"/>
      <x:c r="F19" s="741"/>
      <x:c r="G19" s="725"/>
    </x:row>
    <x:row r="20" spans="1:7" x14ac:dyDescent="0.2">
      <x:c r="A20" s="723"/>
      <x:c r="B20" s="718"/>
      <x:c r="C20" s="718"/>
      <x:c r="D20" s="719"/>
      <x:c r="E20" s="724"/>
      <x:c r="F20" s="741"/>
      <x:c r="G20" s="725"/>
    </x:row>
    <x:row r="21" spans="1:7" x14ac:dyDescent="0.2">
      <x:c r="A21" s="723"/>
      <x:c r="B21" s="718"/>
      <x:c r="C21" s="718"/>
      <x:c r="D21" s="719"/>
      <x:c r="E21" s="724"/>
      <x:c r="F21" s="741"/>
      <x:c r="G21" s="725"/>
    </x:row>
    <x:row r="22" spans="1:7" x14ac:dyDescent="0.2">
      <x:c r="A22" s="723"/>
      <x:c r="B22" s="718"/>
      <x:c r="C22" s="718"/>
      <x:c r="D22" s="719"/>
      <x:c r="E22" s="724"/>
      <x:c r="F22" s="741"/>
      <x:c r="G22" s="725"/>
    </x:row>
    <x:row r="23" spans="1:7" x14ac:dyDescent="0.2">
      <x:c r="A23" s="723"/>
      <x:c r="B23" s="718"/>
      <x:c r="C23" s="718"/>
      <x:c r="D23" s="719"/>
      <x:c r="E23" s="724"/>
      <x:c r="F23" s="741"/>
      <x:c r="G23" s="725"/>
    </x:row>
    <x:row r="24" spans="1:7" x14ac:dyDescent="0.2">
      <x:c r="A24" s="723"/>
      <x:c r="B24" s="718"/>
      <x:c r="C24" s="718"/>
      <x:c r="D24" s="719"/>
      <x:c r="E24" s="724"/>
      <x:c r="F24" s="741"/>
      <x:c r="G24" s="725"/>
    </x:row>
    <x:row r="25" spans="1:7" x14ac:dyDescent="0.2">
      <x:c r="A25" s="723"/>
      <x:c r="B25" s="718"/>
      <x:c r="C25" s="718"/>
      <x:c r="D25" s="719"/>
      <x:c r="E25" s="724"/>
      <x:c r="F25" s="741"/>
      <x:c r="G25" s="725"/>
    </x:row>
    <x:row r="26" spans="1:7" x14ac:dyDescent="0.2">
      <x:c r="A26" s="723"/>
      <x:c r="B26" s="718"/>
      <x:c r="C26" s="718"/>
      <x:c r="D26" s="719"/>
      <x:c r="E26" s="724"/>
      <x:c r="F26" s="741"/>
      <x:c r="G26" s="725"/>
    </x:row>
    <x:row r="27" spans="1:7" x14ac:dyDescent="0.2">
      <x:c r="A27" s="723"/>
      <x:c r="B27" s="718"/>
      <x:c r="C27" s="718"/>
      <x:c r="D27" s="719"/>
      <x:c r="E27" s="724"/>
      <x:c r="F27" s="741"/>
      <x:c r="G27" s="725"/>
    </x:row>
    <x:row r="28" spans="1:7" x14ac:dyDescent="0.2">
      <x:c r="A28" s="723"/>
      <x:c r="B28" s="718"/>
      <x:c r="C28" s="718"/>
      <x:c r="D28" s="719"/>
      <x:c r="E28" s="724"/>
      <x:c r="F28" s="741"/>
      <x:c r="G28" s="725"/>
    </x:row>
    <x:row r="29" spans="1:7" x14ac:dyDescent="0.2">
      <x:c r="A29" s="725"/>
      <x:c r="B29" s="718"/>
      <x:c r="C29" s="718"/>
      <x:c r="D29" s="719"/>
      <x:c r="E29" s="724"/>
      <x:c r="F29" s="741"/>
      <x:c r="G29" s="725"/>
    </x:row>
    <x:row r="30" spans="1:7" x14ac:dyDescent="0.2">
      <x:c r="A30" s="723"/>
      <x:c r="B30" s="718"/>
      <x:c r="C30" s="718"/>
      <x:c r="D30" s="719"/>
      <x:c r="E30" s="724"/>
      <x:c r="F30" s="741"/>
      <x:c r="G30" s="725"/>
    </x:row>
    <x:row r="31" spans="1:7" x14ac:dyDescent="0.2">
      <x:c r="A31" s="723"/>
      <x:c r="B31" s="718"/>
      <x:c r="C31" s="718"/>
      <x:c r="D31" s="719"/>
      <x:c r="E31" s="724"/>
      <x:c r="F31" s="741"/>
      <x:c r="G31" s="725"/>
    </x:row>
    <x:row r="32" spans="1:7" x14ac:dyDescent="0.2">
      <x:c r="A32" s="723"/>
      <x:c r="B32" s="718"/>
      <x:c r="C32" s="718"/>
      <x:c r="D32" s="719"/>
      <x:c r="E32" s="724"/>
      <x:c r="F32" s="741"/>
      <x:c r="G32" s="725"/>
    </x:row>
    <x:row r="33" spans="1:7" x14ac:dyDescent="0.2">
      <x:c r="A33" s="723"/>
      <x:c r="B33" s="718"/>
      <x:c r="C33" s="718"/>
      <x:c r="D33" s="719"/>
      <x:c r="E33" s="724"/>
      <x:c r="F33" s="741"/>
      <x:c r="G33" s="725"/>
    </x:row>
    <x:row r="34" spans="1:7" x14ac:dyDescent="0.2">
      <x:c r="A34" s="723"/>
      <x:c r="B34" s="718"/>
      <x:c r="C34" s="718"/>
      <x:c r="D34" s="719"/>
      <x:c r="E34" s="724"/>
      <x:c r="F34" s="741"/>
      <x:c r="G34" s="725"/>
    </x:row>
    <x:row r="35" spans="1:7" x14ac:dyDescent="0.2">
      <x:c r="A35" s="723"/>
      <x:c r="B35" s="718"/>
      <x:c r="C35" s="718"/>
      <x:c r="D35" s="719"/>
      <x:c r="E35" s="724"/>
      <x:c r="F35" s="741"/>
      <x:c r="G35" s="725"/>
    </x:row>
    <x:row r="36" spans="1:7" x14ac:dyDescent="0.2">
      <x:c r="A36" s="723"/>
      <x:c r="B36" s="718"/>
      <x:c r="C36" s="718"/>
      <x:c r="D36" s="719"/>
      <x:c r="E36" s="724"/>
      <x:c r="F36" s="741"/>
      <x:c r="G36" s="725"/>
    </x:row>
    <x:row r="37" spans="1:7" x14ac:dyDescent="0.2">
      <x:c r="A37" s="723"/>
      <x:c r="B37" s="718"/>
      <x:c r="C37" s="718"/>
      <x:c r="D37" s="719"/>
      <x:c r="E37" s="724"/>
      <x:c r="F37" s="741"/>
      <x:c r="G37" s="725"/>
    </x:row>
    <x:row r="38" spans="1:7" x14ac:dyDescent="0.2">
      <x:c r="A38" s="723"/>
      <x:c r="B38" s="718"/>
      <x:c r="C38" s="718"/>
      <x:c r="D38" s="719"/>
      <x:c r="E38" s="724"/>
      <x:c r="F38" s="741"/>
      <x:c r="G38" s="725"/>
    </x:row>
    <x:row r="39" spans="1:7" x14ac:dyDescent="0.2">
      <x:c r="A39" s="723"/>
      <x:c r="B39" s="718"/>
      <x:c r="C39" s="718"/>
      <x:c r="D39" s="719"/>
      <x:c r="E39" s="724"/>
      <x:c r="F39" s="741"/>
      <x:c r="G39" s="725"/>
    </x:row>
    <x:row r="40" spans="1:7" x14ac:dyDescent="0.2">
      <x:c r="A40" s="723"/>
      <x:c r="B40" s="718"/>
      <x:c r="C40" s="718"/>
      <x:c r="D40" s="719"/>
      <x:c r="E40" s="724"/>
      <x:c r="F40" s="741"/>
      <x:c r="G40" s="725"/>
    </x:row>
    <x:row r="41" spans="1:7" x14ac:dyDescent="0.2">
      <x:c r="A41" s="723"/>
      <x:c r="B41" s="718"/>
      <x:c r="C41" s="718"/>
      <x:c r="D41" s="719"/>
      <x:c r="E41" s="724"/>
      <x:c r="F41" s="741"/>
      <x:c r="G41" s="725"/>
    </x:row>
    <x:row r="42" spans="1:7" x14ac:dyDescent="0.2">
      <x:c r="A42" s="723"/>
      <x:c r="B42" s="718"/>
      <x:c r="C42" s="718"/>
      <x:c r="D42" s="719"/>
      <x:c r="E42" s="724"/>
      <x:c r="F42" s="741"/>
      <x:c r="G42" s="725"/>
    </x:row>
    <x:row r="43" spans="1:7" x14ac:dyDescent="0.2">
      <x:c r="A43" s="723"/>
      <x:c r="B43" s="718"/>
      <x:c r="C43" s="718"/>
      <x:c r="D43" s="719"/>
      <x:c r="E43" s="724"/>
      <x:c r="F43" s="741"/>
      <x:c r="G43" s="725"/>
    </x:row>
    <x:row r="44" spans="1:7" x14ac:dyDescent="0.2">
      <x:c r="A44" s="723"/>
      <x:c r="B44" s="718"/>
      <x:c r="C44" s="718"/>
      <x:c r="D44" s="719"/>
      <x:c r="E44" s="724"/>
      <x:c r="F44" s="741"/>
      <x:c r="G44" s="725"/>
    </x:row>
    <x:row r="45" spans="1:7" x14ac:dyDescent="0.2">
      <x:c r="A45" s="723"/>
      <x:c r="B45" s="718"/>
      <x:c r="C45" s="718"/>
      <x:c r="D45" s="719"/>
      <x:c r="E45" s="724"/>
      <x:c r="F45" s="741"/>
      <x:c r="G45" s="725"/>
    </x:row>
    <x:row r="46" spans="1:7" x14ac:dyDescent="0.2">
      <x:c r="A46" s="723"/>
      <x:c r="B46" s="718"/>
      <x:c r="C46" s="718"/>
      <x:c r="D46" s="719"/>
      <x:c r="E46" s="724"/>
      <x:c r="F46" s="741"/>
      <x:c r="G46" s="725"/>
    </x:row>
    <x:row r="47" spans="1:7" x14ac:dyDescent="0.2">
      <x:c r="A47" s="723"/>
      <x:c r="B47" s="718"/>
      <x:c r="C47" s="718"/>
      <x:c r="D47" s="719"/>
      <x:c r="E47" s="724"/>
      <x:c r="F47" s="741"/>
      <x:c r="G47" s="725"/>
    </x:row>
    <x:row r="48" spans="1:7" x14ac:dyDescent="0.2">
      <x:c r="A48" s="723"/>
      <x:c r="B48" s="718"/>
      <x:c r="C48" s="718"/>
      <x:c r="D48" s="719"/>
      <x:c r="E48" s="724"/>
      <x:c r="F48" s="741"/>
      <x:c r="G48" s="725"/>
    </x:row>
    <x:row r="49" spans="1:7" x14ac:dyDescent="0.2">
      <x:c r="A49" s="723"/>
      <x:c r="B49" s="718"/>
      <x:c r="C49" s="718"/>
      <x:c r="D49" s="719"/>
      <x:c r="E49" s="724"/>
      <x:c r="F49" s="741"/>
      <x:c r="G49" s="725"/>
    </x:row>
    <x:row r="50" spans="1:7" x14ac:dyDescent="0.2">
      <x:c r="A50" s="723"/>
      <x:c r="B50" s="718"/>
      <x:c r="C50" s="718"/>
      <x:c r="D50" s="719"/>
      <x:c r="E50" s="724"/>
      <x:c r="F50" s="741"/>
      <x:c r="G50" s="725"/>
    </x:row>
    <x:row r="51" spans="1:7" x14ac:dyDescent="0.2">
      <x:c r="A51" s="723"/>
      <x:c r="B51" s="718"/>
      <x:c r="C51" s="718"/>
      <x:c r="D51" s="719"/>
      <x:c r="E51" s="724"/>
      <x:c r="F51" s="741"/>
      <x:c r="G51" s="725"/>
    </x:row>
    <x:row r="52" spans="1:7" x14ac:dyDescent="0.2">
      <x:c r="A52" s="723"/>
      <x:c r="B52" s="718"/>
      <x:c r="C52" s="718"/>
      <x:c r="D52" s="719"/>
      <x:c r="E52" s="724"/>
      <x:c r="F52" s="741"/>
      <x:c r="G52" s="725"/>
    </x:row>
    <x:row r="53" spans="1:7" x14ac:dyDescent="0.2">
      <x:c r="A53" s="723"/>
      <x:c r="B53" s="718"/>
      <x:c r="C53" s="718"/>
      <x:c r="D53" s="719"/>
      <x:c r="E53" s="724"/>
      <x:c r="F53" s="741"/>
      <x:c r="G53" s="725"/>
    </x:row>
    <x:row r="54" spans="1:7" x14ac:dyDescent="0.2">
      <x:c r="A54" s="723"/>
      <x:c r="B54" s="718"/>
      <x:c r="C54" s="718"/>
      <x:c r="D54" s="719"/>
      <x:c r="E54" s="724"/>
      <x:c r="F54" s="741"/>
      <x:c r="G54" s="725"/>
    </x:row>
    <x:row r="55" spans="1:7" x14ac:dyDescent="0.2">
      <x:c r="A55" s="723"/>
      <x:c r="B55" s="718"/>
      <x:c r="C55" s="718"/>
      <x:c r="D55" s="719"/>
      <x:c r="E55" s="724"/>
      <x:c r="F55" s="741"/>
      <x:c r="G55" s="725"/>
    </x:row>
    <x:row r="56" spans="1:7" x14ac:dyDescent="0.2">
      <x:c r="A56" s="723"/>
      <x:c r="B56" s="718"/>
      <x:c r="C56" s="718"/>
      <x:c r="D56" s="719"/>
      <x:c r="E56" s="724"/>
      <x:c r="F56" s="741"/>
      <x:c r="G56" s="725"/>
    </x:row>
    <x:row r="57" spans="1:7" x14ac:dyDescent="0.2">
      <x:c r="A57" s="723"/>
      <x:c r="B57" s="718"/>
      <x:c r="C57" s="718"/>
      <x:c r="D57" s="719"/>
      <x:c r="E57" s="724"/>
      <x:c r="F57" s="741"/>
      <x:c r="G57" s="725"/>
    </x:row>
    <x:row r="58" spans="1:7" x14ac:dyDescent="0.2">
      <x:c r="A58" s="723"/>
      <x:c r="B58" s="718"/>
      <x:c r="C58" s="718"/>
      <x:c r="D58" s="719"/>
      <x:c r="E58" s="724"/>
      <x:c r="F58" s="741"/>
      <x:c r="G58" s="725"/>
    </x:row>
    <x:row r="59" spans="1:7" x14ac:dyDescent="0.2">
      <x:c r="A59" s="723"/>
      <x:c r="B59" s="718"/>
      <x:c r="C59" s="718"/>
      <x:c r="D59" s="719"/>
      <x:c r="E59" s="724"/>
      <x:c r="F59" s="741"/>
      <x:c r="G59" s="725"/>
    </x:row>
    <x:row r="60" spans="1:7" x14ac:dyDescent="0.2">
      <x:c r="A60" s="723"/>
      <x:c r="B60" s="718"/>
      <x:c r="C60" s="718"/>
      <x:c r="D60" s="719"/>
      <x:c r="E60" s="724"/>
      <x:c r="F60" s="741"/>
      <x:c r="G60" s="725"/>
    </x:row>
    <x:row r="61" spans="1:7" x14ac:dyDescent="0.2">
      <x:c r="A61" s="723"/>
      <x:c r="B61" s="718"/>
      <x:c r="C61" s="718"/>
      <x:c r="D61" s="719"/>
      <x:c r="E61" s="724"/>
      <x:c r="F61" s="741"/>
      <x:c r="G61" s="725"/>
    </x:row>
    <x:row r="62" spans="1:7" x14ac:dyDescent="0.2">
      <x:c r="A62" s="723"/>
      <x:c r="B62" s="718"/>
      <x:c r="C62" s="718"/>
      <x:c r="D62" s="719"/>
      <x:c r="E62" s="724"/>
      <x:c r="F62" s="741"/>
      <x:c r="G62" s="725"/>
    </x:row>
    <x:row r="63" spans="1:7" x14ac:dyDescent="0.2">
      <x:c r="A63" s="723"/>
      <x:c r="B63" s="718"/>
      <x:c r="C63" s="718"/>
      <x:c r="D63" s="719"/>
      <x:c r="E63" s="724"/>
      <x:c r="F63" s="741"/>
      <x:c r="G63" s="725"/>
    </x:row>
    <x:row r="64" spans="1:7" x14ac:dyDescent="0.2">
      <x:c r="A64" s="723"/>
      <x:c r="B64" s="718"/>
      <x:c r="C64" s="718"/>
      <x:c r="D64" s="719"/>
      <x:c r="E64" s="724"/>
      <x:c r="F64" s="741"/>
      <x:c r="G64" s="725"/>
    </x:row>
    <x:row r="65" spans="1:7" x14ac:dyDescent="0.2">
      <x:c r="A65" s="723"/>
      <x:c r="B65" s="718"/>
      <x:c r="C65" s="718"/>
      <x:c r="D65" s="719"/>
      <x:c r="E65" s="724"/>
      <x:c r="F65" s="741"/>
      <x:c r="G65" s="725"/>
    </x:row>
    <x:row r="66" spans="1:7" x14ac:dyDescent="0.2">
      <x:c r="A66" s="723"/>
      <x:c r="B66" s="718"/>
      <x:c r="C66" s="718"/>
      <x:c r="D66" s="719"/>
      <x:c r="E66" s="724"/>
      <x:c r="F66" s="741"/>
      <x:c r="G66" s="725"/>
    </x:row>
    <x:row r="67" spans="1:7" x14ac:dyDescent="0.2">
      <x:c r="A67" s="723"/>
      <x:c r="B67" s="718"/>
      <x:c r="C67" s="718"/>
      <x:c r="D67" s="719"/>
      <x:c r="E67" s="724"/>
      <x:c r="F67" s="741"/>
      <x:c r="G67" s="725"/>
    </x:row>
    <x:row r="68" spans="1:7" x14ac:dyDescent="0.2">
      <x:c r="A68" s="723"/>
      <x:c r="B68" s="718"/>
      <x:c r="C68" s="718"/>
      <x:c r="D68" s="719"/>
      <x:c r="E68" s="724"/>
      <x:c r="F68" s="741"/>
      <x:c r="G68" s="725"/>
    </x:row>
    <x:row r="69" spans="1:7" x14ac:dyDescent="0.2">
      <x:c r="A69" s="723"/>
      <x:c r="B69" s="718"/>
      <x:c r="C69" s="718"/>
      <x:c r="D69" s="719"/>
      <x:c r="E69" s="724"/>
      <x:c r="F69" s="741"/>
      <x:c r="G69" s="725"/>
    </x:row>
    <x:row r="70" spans="1:7" x14ac:dyDescent="0.2">
      <x:c r="A70" s="723"/>
      <x:c r="B70" s="718"/>
      <x:c r="C70" s="718"/>
      <x:c r="D70" s="719"/>
      <x:c r="E70" s="724"/>
      <x:c r="F70" s="741"/>
      <x:c r="G70" s="725"/>
    </x:row>
    <x:row r="71" spans="1:7" x14ac:dyDescent="0.2">
      <x:c r="A71" s="723"/>
      <x:c r="B71" s="718"/>
      <x:c r="C71" s="718"/>
      <x:c r="D71" s="719"/>
      <x:c r="E71" s="724"/>
      <x:c r="F71" s="741"/>
      <x:c r="G71" s="725"/>
    </x:row>
    <x:row r="72" spans="1:7" x14ac:dyDescent="0.2">
      <x:c r="A72" s="723"/>
      <x:c r="B72" s="718"/>
      <x:c r="C72" s="718"/>
      <x:c r="D72" s="719"/>
      <x:c r="E72" s="724"/>
      <x:c r="F72" s="741"/>
      <x:c r="G72" s="725"/>
    </x:row>
    <x:row r="73" spans="1:7" x14ac:dyDescent="0.2">
      <x:c r="A73" s="723"/>
      <x:c r="B73" s="718"/>
      <x:c r="C73" s="718"/>
      <x:c r="D73" s="719"/>
      <x:c r="E73" s="724"/>
      <x:c r="F73" s="741"/>
      <x:c r="G73" s="725"/>
    </x:row>
    <x:row r="74" spans="1:7" x14ac:dyDescent="0.2">
      <x:c r="A74" s="723"/>
      <x:c r="B74" s="718"/>
      <x:c r="C74" s="718"/>
      <x:c r="D74" s="719"/>
      <x:c r="E74" s="724"/>
      <x:c r="F74" s="741"/>
      <x:c r="G74" s="725"/>
    </x:row>
    <x:row r="75" spans="1:7" x14ac:dyDescent="0.2">
      <x:c r="A75" s="723"/>
      <x:c r="B75" s="718"/>
      <x:c r="C75" s="718"/>
      <x:c r="D75" s="719"/>
      <x:c r="E75" s="724"/>
      <x:c r="F75" s="741"/>
      <x:c r="G75" s="725"/>
    </x:row>
    <x:row r="76" spans="1:7" x14ac:dyDescent="0.2">
      <x:c r="A76" s="723"/>
      <x:c r="B76" s="718"/>
      <x:c r="C76" s="718"/>
      <x:c r="D76" s="719"/>
      <x:c r="E76" s="724"/>
      <x:c r="F76" s="741"/>
      <x:c r="G76" s="725"/>
    </x:row>
    <x:row r="77" spans="1:7" x14ac:dyDescent="0.2">
      <x:c r="A77" s="723"/>
      <x:c r="B77" s="718"/>
      <x:c r="C77" s="718"/>
      <x:c r="D77" s="719"/>
      <x:c r="E77" s="724"/>
      <x:c r="F77" s="741"/>
      <x:c r="G77" s="725"/>
    </x:row>
    <x:row r="78" spans="1:7" x14ac:dyDescent="0.2">
      <x:c r="A78" s="723"/>
      <x:c r="B78" s="718"/>
      <x:c r="C78" s="718"/>
      <x:c r="D78" s="719"/>
      <x:c r="E78" s="724"/>
      <x:c r="F78" s="741"/>
      <x:c r="G78" s="725"/>
    </x:row>
    <x:row r="79" spans="1:7" x14ac:dyDescent="0.2">
      <x:c r="A79" s="723"/>
      <x:c r="B79" s="718"/>
      <x:c r="C79" s="718"/>
      <x:c r="D79" s="719"/>
      <x:c r="E79" s="724"/>
      <x:c r="F79" s="741"/>
      <x:c r="G79" s="725"/>
    </x:row>
    <x:row r="80" spans="1:7" x14ac:dyDescent="0.2">
      <x:c r="A80" s="723"/>
      <x:c r="B80" s="718"/>
      <x:c r="C80" s="718"/>
      <x:c r="D80" s="719"/>
      <x:c r="E80" s="724"/>
      <x:c r="F80" s="741"/>
      <x:c r="G80" s="725"/>
    </x:row>
    <x:row r="81" spans="1:7" x14ac:dyDescent="0.2">
      <x:c r="A81" s="723"/>
      <x:c r="B81" s="718"/>
      <x:c r="C81" s="718"/>
      <x:c r="D81" s="719"/>
      <x:c r="E81" s="724"/>
      <x:c r="F81" s="741"/>
      <x:c r="G81" s="725"/>
    </x:row>
    <x:row r="82" spans="1:7" x14ac:dyDescent="0.2">
      <x:c r="A82" s="723"/>
      <x:c r="B82" s="718"/>
      <x:c r="C82" s="718"/>
      <x:c r="D82" s="719"/>
      <x:c r="E82" s="724"/>
      <x:c r="F82" s="741"/>
      <x:c r="G82" s="725"/>
    </x:row>
    <x:row r="83" spans="1:7" x14ac:dyDescent="0.2">
      <x:c r="A83" s="723"/>
      <x:c r="B83" s="718"/>
      <x:c r="C83" s="718"/>
      <x:c r="D83" s="719"/>
      <x:c r="E83" s="724"/>
      <x:c r="F83" s="741"/>
      <x:c r="G83" s="725"/>
    </x:row>
    <x:row r="84" spans="1:7" x14ac:dyDescent="0.2">
      <x:c r="A84" s="723"/>
      <x:c r="B84" s="718"/>
      <x:c r="C84" s="718"/>
      <x:c r="D84" s="719"/>
      <x:c r="E84" s="724"/>
      <x:c r="F84" s="741"/>
      <x:c r="G84" s="725"/>
    </x:row>
    <x:row r="85" spans="1:7" x14ac:dyDescent="0.2">
      <x:c r="A85" s="723"/>
      <x:c r="B85" s="718"/>
      <x:c r="C85" s="718"/>
      <x:c r="D85" s="719"/>
      <x:c r="E85" s="724"/>
      <x:c r="F85" s="741"/>
      <x:c r="G85" s="725"/>
    </x:row>
    <x:row r="86" spans="1:7" x14ac:dyDescent="0.2">
      <x:c r="A86" s="723"/>
      <x:c r="B86" s="718"/>
      <x:c r="C86" s="718"/>
      <x:c r="D86" s="719"/>
      <x:c r="E86" s="724"/>
      <x:c r="F86" s="741"/>
      <x:c r="G86" s="725"/>
    </x:row>
    <x:row r="87" spans="1:7" x14ac:dyDescent="0.2">
      <x:c r="A87" s="723"/>
      <x:c r="B87" s="718"/>
      <x:c r="C87" s="718"/>
      <x:c r="D87" s="719"/>
      <x:c r="E87" s="724"/>
      <x:c r="F87" s="741"/>
      <x:c r="G87" s="725"/>
    </x:row>
    <x:row r="88" spans="1:7" x14ac:dyDescent="0.2">
      <x:c r="A88" s="723"/>
      <x:c r="B88" s="718"/>
      <x:c r="C88" s="718"/>
      <x:c r="D88" s="719"/>
      <x:c r="E88" s="724"/>
      <x:c r="F88" s="741"/>
      <x:c r="G88" s="725"/>
    </x:row>
    <x:row r="89" spans="1:7" x14ac:dyDescent="0.2">
      <x:c r="A89" s="723"/>
      <x:c r="B89" s="718"/>
      <x:c r="C89" s="718"/>
      <x:c r="D89" s="719"/>
      <x:c r="E89" s="724"/>
      <x:c r="F89" s="741"/>
      <x:c r="G89" s="725"/>
    </x:row>
    <x:row r="90" spans="1:7" x14ac:dyDescent="0.2">
      <x:c r="A90" s="723"/>
      <x:c r="B90" s="718"/>
      <x:c r="C90" s="718"/>
      <x:c r="D90" s="719"/>
      <x:c r="E90" s="724"/>
      <x:c r="F90" s="741"/>
      <x:c r="G90" s="725"/>
    </x:row>
    <x:row r="91" spans="1:7" x14ac:dyDescent="0.2">
      <x:c r="A91" s="723"/>
      <x:c r="B91" s="718"/>
      <x:c r="C91" s="718"/>
      <x:c r="D91" s="719"/>
      <x:c r="E91" s="724"/>
      <x:c r="F91" s="741"/>
      <x:c r="G91" s="725"/>
    </x:row>
    <x:row r="92" spans="1:7" x14ac:dyDescent="0.2">
      <x:c r="A92" s="723"/>
      <x:c r="B92" s="718"/>
      <x:c r="C92" s="718"/>
      <x:c r="D92" s="719"/>
      <x:c r="E92" s="724"/>
      <x:c r="F92" s="741"/>
      <x:c r="G92" s="725"/>
    </x:row>
    <x:row r="93" spans="1:7" x14ac:dyDescent="0.2">
      <x:c r="A93" s="723"/>
      <x:c r="B93" s="718"/>
      <x:c r="C93" s="718"/>
      <x:c r="D93" s="719"/>
      <x:c r="E93" s="724"/>
      <x:c r="F93" s="741"/>
      <x:c r="G93" s="725"/>
    </x:row>
    <x:row r="94" spans="1:7" x14ac:dyDescent="0.2">
      <x:c r="A94" s="723"/>
      <x:c r="B94" s="718"/>
      <x:c r="C94" s="718"/>
      <x:c r="D94" s="719"/>
      <x:c r="E94" s="724"/>
      <x:c r="F94" s="741"/>
      <x:c r="G94" s="725"/>
    </x:row>
    <x:row r="95" spans="1:7" x14ac:dyDescent="0.2">
      <x:c r="A95" s="723"/>
      <x:c r="B95" s="718"/>
      <x:c r="C95" s="718"/>
      <x:c r="D95" s="719"/>
      <x:c r="E95" s="724"/>
      <x:c r="F95" s="741"/>
      <x:c r="G95" s="725"/>
    </x:row>
    <x:row r="96" spans="1:7" x14ac:dyDescent="0.2">
      <x:c r="A96" s="723"/>
      <x:c r="B96" s="718"/>
      <x:c r="C96" s="718"/>
      <x:c r="D96" s="719"/>
      <x:c r="E96" s="724"/>
      <x:c r="F96" s="741"/>
      <x:c r="G96" s="725"/>
    </x:row>
    <x:row r="97" spans="1:7" x14ac:dyDescent="0.2">
      <x:c r="A97" s="723"/>
      <x:c r="B97" s="718"/>
      <x:c r="C97" s="718"/>
      <x:c r="D97" s="719"/>
      <x:c r="E97" s="724"/>
      <x:c r="F97" s="741"/>
      <x:c r="G97" s="725"/>
    </x:row>
    <x:row r="98" spans="1:7" x14ac:dyDescent="0.2">
      <x:c r="A98" s="723"/>
      <x:c r="B98" s="718"/>
      <x:c r="C98" s="718"/>
      <x:c r="D98" s="719"/>
      <x:c r="E98" s="724"/>
      <x:c r="F98" s="741"/>
      <x:c r="G98" s="725"/>
    </x:row>
    <x:row r="99" spans="1:7" x14ac:dyDescent="0.2">
      <x:c r="A99" s="723"/>
      <x:c r="B99" s="718"/>
      <x:c r="C99" s="718"/>
      <x:c r="D99" s="719"/>
      <x:c r="E99" s="724"/>
      <x:c r="F99" s="741"/>
      <x:c r="G99" s="725"/>
    </x:row>
    <x:row r="100" spans="1:7" x14ac:dyDescent="0.2">
      <x:c r="A100" s="716" t="s">
        <x:v>148</x:v>
      </x:c>
      <x:c r="B100" s="719">
        <x:f>SUM(B4:B99)</x:f>
        <x:v>13</x:v>
      </x:c>
      <x:c r="C100" s="719"/>
      <x:c r="D100" s="719"/>
      <x:c r="E100" s="721"/>
      <x:c r="F100" s="716"/>
      <x:c r="G100" s="723"/>
    </x:row>
    <x:row r="101" spans="1:7" ht="34" customHeight="1" x14ac:dyDescent="0.2">
      <x:c r="A101" s="731" t="s">
        <x:v>125</x:v>
      </x:c>
      <x:c r="B101" s="710" t="s">
        <x:v>119</x:v>
      </x:c>
      <x:c r="C101" s="710" t="s">
        <x:v>120</x:v>
      </x:c>
      <x:c r="D101" s="710" t="s">
        <x:v>126</x:v>
      </x:c>
      <x:c r="E101" s="709"/>
      <x:c r="F101" s="732"/>
    </x:row>
    <x:row r="102" spans="1:7" x14ac:dyDescent="0.2">
      <x:c r="A102" s="733" t="str">
        <x:f>Summary!V4</x:f>
        <x:v>BA/Dev/Arch</x:v>
      </x:c>
      <x:c r="B102" s="708"/>
      <x:c r="C102" s="708"/>
      <x:c r="D102" s="708"/>
      <x:c r="E102" s="734"/>
      <x:c r="F102" s="734"/>
    </x:row>
    <x:row r="103" spans="1:7" x14ac:dyDescent="0.2">
      <x:c r="A103" s="733" t="str">
        <x:f>Summary!V5</x:f>
        <x:v>SME</x:v>
      </x:c>
      <x:c r="B103" s="708"/>
      <x:c r="C103" s="708"/>
      <x:c r="D103" s="708"/>
      <x:c r="E103" s="734"/>
      <x:c r="F103" s="734"/>
    </x:row>
    <x:row r="104" spans="1:7" x14ac:dyDescent="0.2">
      <x:c r="A104" s="733" t="str">
        <x:f>Summary!V6</x:f>
        <x:v>Consulting Eng</x:v>
      </x:c>
      <x:c r="B104" s="708"/>
      <x:c r="C104" s="708"/>
      <x:c r="D104" s="708"/>
      <x:c r="E104" s="734"/>
      <x:c r="F104" s="734"/>
    </x:row>
    <x:row r="105" spans="1:7" x14ac:dyDescent="0.2">
      <x:c r="A105" s="733" t="str">
        <x:f>Summary!V7</x:f>
        <x:v>Associate Eng</x:v>
      </x:c>
      <x:c r="B105" s="708"/>
      <x:c r="C105" s="708"/>
      <x:c r="D105" s="708"/>
    </x:row>
    <x:row r="106" spans="1:7" x14ac:dyDescent="0.2">
      <x:c r="A106" s="735" t="s">
        <x:v>127</x:v>
      </x:c>
      <x:c r="B106" s="736"/>
      <x:c r="C106" s="736"/>
      <x:c r="D106" s="736"/>
    </x:row>
    <x:row r="108" spans="1:7" ht="34" customHeight="1" x14ac:dyDescent="0.2">
      <x:c r="A108" s="731" t="s">
        <x:v>128</x:v>
      </x:c>
      <x:c r="B108" s="710"/>
      <x:c r="C108" s="710"/>
      <x:c r="D108" s="710"/>
      <x:c r="E108" s="709" t="s">
        <x:v>93</x:v>
      </x:c>
    </x:row>
    <x:row r="109" spans="1:7" x14ac:dyDescent="0.2">
      <x:c r="A109" s="733" t="str">
        <x:f>Summary!V4</x:f>
        <x:v>BA/Dev/Arch</x:v>
      </x:c>
      <x:c r="B109" s="708"/>
      <x:c r="C109" s="708"/>
      <x:c r="D109" s="708"/>
      <x:c r="E109" s="734">
        <x:f>SUM(B109:D109)</x:f>
        <x:v>0</x:v>
      </x:c>
      <x:c r="F109" s="737"/>
    </x:row>
    <x:row r="110" spans="1:7" x14ac:dyDescent="0.2">
      <x:c r="A110" s="733" t="str">
        <x:f>Summary!V5</x:f>
        <x:v>SME</x:v>
      </x:c>
      <x:c r="B110" s="708"/>
      <x:c r="C110" s="708"/>
      <x:c r="D110" s="708"/>
      <x:c r="E110" s="734">
        <x:f>SUM(B110:D110)</x:f>
        <x:v>0</x:v>
      </x:c>
      <x:c r="F110" s="732"/>
    </x:row>
    <x:row r="111" spans="1:7" x14ac:dyDescent="0.2">
      <x:c r="A111" s="733" t="str">
        <x:f>Summary!V6</x:f>
        <x:v>Consulting Eng</x:v>
      </x:c>
      <x:c r="B111" s="708"/>
      <x:c r="C111" s="708"/>
      <x:c r="D111" s="708"/>
      <x:c r="E111" s="734">
        <x:f>SUM(B111:D111)</x:f>
        <x:v>0</x:v>
      </x:c>
      <x:c r="F111" s="734"/>
    </x:row>
    <x:row r="112" spans="1:7" x14ac:dyDescent="0.2">
      <x:c r="A112" s="733" t="str">
        <x:f>Summary!V7</x:f>
        <x:v>Associate Eng</x:v>
      </x:c>
      <x:c r="B112" s="708"/>
      <x:c r="C112" s="708"/>
      <x:c r="D112" s="708"/>
      <x:c r="E112" s="734">
        <x:f>SUM(B112:D112)</x:f>
        <x:v>0</x:v>
      </x:c>
      <x:c r="F112" s="734"/>
    </x:row>
    <x:row r="113" spans="1:7" x14ac:dyDescent="0.2">
      <x:c r="A113" s="735" t="s">
        <x:v>129</x:v>
      </x:c>
      <x:c r="B113" s="736"/>
      <x:c r="C113" s="736"/>
      <x:c r="D113" s="736"/>
      <x:c r="E113" s="738">
        <x:f>SUM(E109:E112)</x:f>
        <x:v>0</x:v>
      </x:c>
      <x:c r="F113" s="734"/>
    </x:row>
    <x:row r="114" spans="1:7" x14ac:dyDescent="0.2">
      <x:c r="F114" s="737"/>
    </x:row>
    <x:row r="115" spans="1:7" ht="34" customHeight="1" x14ac:dyDescent="0.2">
      <x:c r="A115" s="731" t="s">
        <x:v>130</x:v>
      </x:c>
      <x:c r="B115" s="710"/>
      <x:c r="C115" s="710"/>
      <x:c r="D115" s="710"/>
      <x:c r="E115" s="737"/>
    </x:row>
    <x:row r="116" spans="1:7" x14ac:dyDescent="0.2">
      <x:c r="A116" s="733" t="str">
        <x:f>Summary!V4</x:f>
        <x:v>BA/Dev/Arch</x:v>
      </x:c>
      <x:c r="B116" s="708"/>
      <x:c r="C116" s="708"/>
      <x:c r="D116" s="708"/>
      <x:c r="E116" s="737"/>
    </x:row>
    <x:row r="117" spans="1:7" x14ac:dyDescent="0.2">
      <x:c r="A117" s="733" t="str">
        <x:f>Summary!V5</x:f>
        <x:v>SME</x:v>
      </x:c>
      <x:c r="B117" s="708"/>
      <x:c r="C117" s="708"/>
      <x:c r="D117" s="708"/>
      <x:c r="E117" s="737"/>
    </x:row>
    <x:row r="118" spans="1:7" x14ac:dyDescent="0.2">
      <x:c r="A118" s="733" t="str">
        <x:f>Summary!V6</x:f>
        <x:v>Consulting Eng</x:v>
      </x:c>
      <x:c r="B118" s="708"/>
      <x:c r="C118" s="708"/>
      <x:c r="D118" s="708"/>
      <x:c r="E118" s="737"/>
    </x:row>
    <x:row r="119" spans="1:7" x14ac:dyDescent="0.2">
      <x:c r="A119" s="733" t="str">
        <x:f>Summary!V7</x:f>
        <x:v>Associate Eng</x:v>
      </x:c>
      <x:c r="B119" s="708"/>
      <x:c r="C119" s="708"/>
      <x:c r="D119" s="708"/>
      <x:c r="E119" s="737"/>
    </x:row>
    <x:row r="120" spans="1:7" x14ac:dyDescent="0.2">
      <x:c r="A120" s="735" t="s">
        <x:v>131</x:v>
      </x:c>
      <x:c r="B120" s="736">
        <x:f>SUM(B116:B119)</x:f>
        <x:v>0</x:v>
      </x:c>
      <x:c r="C120" s="736">
        <x:f>SUM(C116:C119)</x:f>
        <x:v>0</x:v>
      </x:c>
      <x:c r="D120" s="736">
        <x:f>SUM(D116:D119)</x:f>
        <x:v>0</x:v>
      </x:c>
      <x:c r="E120" s="739"/>
    </x:row>
  </x:sheetData>
  <x:sheetProtection algorithmName="SHA-512" hashValue="SuEWIpOnqFmpLtQaJCKlEFP2/aQ9DfNhVw72KV+DfNAilbMugy6bK2q0lRY1OhWYg/Nm2tAJ2uH1lxQbCb/OWw==" saltValue="kiKgssBAT8kYqZDDcaIsCA==" spinCount="100000" sheet="1" formatCells="0" formatColumns="0" formatRows="0" insertHyperlinks="0" selectLockedCells="1"/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99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4">
    <x:tabColor theme="7" tint="0.3999755851924192"/>
    <x:outlinePr summaryBelow="1" summaryRight="1"/>
    <x:pageSetUpPr fitToPage="1"/>
  </x:sheetPr>
  <x:dimension ref="A1:G120"/>
  <x:sheetViews>
    <x:sheetView workbookViewId="0">
      <x:pane xSplit="0" ySplit="3" topLeftCell="A4" activePane="bottomLeft" state="frozenSplit"/>
      <x:selection activeCell="B12" sqref="B12 A12:B12"/>
      <x:selection pane="bottomLeft" activeCell="B12" sqref="B12 A12:B12"/>
    </x:sheetView>
  </x:sheetViews>
  <x:sheetFormatPr baseColWidth="10" defaultColWidth="11.155069" defaultRowHeight="16" x14ac:dyDescent="0.2"/>
  <x:cols>
    <x:col min="8" max="16384" width="11.155069" style="707" customWidth="1"/>
    <x:col min="1" max="1" width="60.710625" style="707" customWidth="1"/>
    <x:col min="2" max="4" width="12.710625" style="708" customWidth="1"/>
    <x:col min="5" max="5" width="22.710625" style="707" bestFit="1" customWidth="1"/>
    <x:col min="6" max="6" width="18.710625" style="707" customWidth="1"/>
    <x:col min="7" max="7" width="50.710625" style="707" customWidth="1"/>
  </x:cols>
  <x:sheetData>
    <x:row r="1" spans="1:7" ht="45" customHeight="1" x14ac:dyDescent="0.2">
      <x:c r="A1" s="709" t="s">
        <x:v>118</x:v>
      </x:c>
      <x:c r="B1" s="710" t="s">
        <x:v>139</x:v>
      </x:c>
      <x:c r="C1" s="710" t="s">
        <x:v>140</x:v>
      </x:c>
      <x:c r="D1" s="710" t="s">
        <x:v>121</x:v>
      </x:c>
      <x:c r="E1" s="709" t="s">
        <x:v>122</x:v>
      </x:c>
      <x:c r="F1" s="709" t="s">
        <x:v>123</x:v>
      </x:c>
      <x:c r="G1" s="709" t="s">
        <x:v>124</x:v>
      </x:c>
    </x:row>
    <x:row r="2" spans="1:7" ht="32" customHeight="1" x14ac:dyDescent="0.2">
      <x:c r="A2" s="744" t="s">
        <x:v>155</x:v>
      </x:c>
      <x:c r="B2" s="712"/>
      <x:c r="C2" s="712"/>
      <x:c r="D2" s="712"/>
      <x:c r="E2" s="713"/>
      <x:c r="F2" s="713"/>
      <x:c r="G2" s="714" t="s">
        <x:v>141</x:v>
      </x:c>
    </x:row>
    <x:row r="3" spans="1:7" ht="32" customHeight="1" x14ac:dyDescent="0.2">
      <x:c r="A3" s="715" t="s">
        <x:v>142</x:v>
      </x:c>
      <x:c r="B3" s="712"/>
      <x:c r="C3" s="712"/>
      <x:c r="D3" s="712"/>
      <x:c r="E3" s="713"/>
      <x:c r="F3" s="713"/>
      <x:c r="G3" s="716"/>
    </x:row>
    <x:row r="4" spans="1:7" ht="32" customHeight="1" x14ac:dyDescent="0.2">
      <x:c r="A4" s="723" t="s">
        <x:v>156</x:v>
      </x:c>
      <x:c r="B4" s="718">
        <x:v>14</x:v>
      </x:c>
      <x:c r="C4" s="718"/>
      <x:c r="D4" s="719"/>
      <x:c r="E4" s="720"/>
      <x:c r="F4" s="741"/>
      <x:c r="G4" s="725" t="s">
        <x:v>144</x:v>
      </x:c>
    </x:row>
    <x:row r="5" spans="1:7" ht="32" customHeight="1" x14ac:dyDescent="0.2">
      <x:c r="A5" s="723" t="s">
        <x:v>157</x:v>
      </x:c>
      <x:c r="B5" s="718"/>
      <x:c r="C5" s="718"/>
      <x:c r="D5" s="719"/>
      <x:c r="E5" s="724"/>
      <x:c r="F5" s="741"/>
      <x:c r="G5" s="725"/>
    </x:row>
    <x:row r="6" spans="1:7" ht="32" customHeight="1" x14ac:dyDescent="0.2">
      <x:c r="A6" s="723" t="s">
        <x:v>158</x:v>
      </x:c>
      <x:c r="B6" s="718"/>
      <x:c r="C6" s="718"/>
      <x:c r="D6" s="719"/>
      <x:c r="E6" s="724"/>
      <x:c r="F6" s="741"/>
      <x:c r="G6" s="722"/>
    </x:row>
    <x:row r="7" spans="1:7" ht="32" customHeight="1" x14ac:dyDescent="0.2">
      <x:c r="A7" s="723" t="s">
        <x:v>159</x:v>
      </x:c>
      <x:c r="B7" s="718"/>
      <x:c r="C7" s="718"/>
      <x:c r="D7" s="719"/>
      <x:c r="E7" s="724"/>
      <x:c r="F7" s="741"/>
      <x:c r="G7" s="722"/>
    </x:row>
    <x:row r="8" spans="1:7" x14ac:dyDescent="0.2">
      <x:c r="A8" s="723"/>
      <x:c r="B8" s="718"/>
      <x:c r="C8" s="718"/>
      <x:c r="D8" s="719"/>
      <x:c r="E8" s="724"/>
      <x:c r="F8" s="741"/>
      <x:c r="G8" s="722"/>
    </x:row>
    <x:row r="9" spans="1:7" x14ac:dyDescent="0.2">
      <x:c r="A9" s="723"/>
      <x:c r="B9" s="718"/>
      <x:c r="C9" s="718"/>
      <x:c r="D9" s="719"/>
      <x:c r="E9" s="724"/>
      <x:c r="F9" s="741"/>
      <x:c r="G9" s="722"/>
    </x:row>
    <x:row r="10" spans="1:7" x14ac:dyDescent="0.2">
      <x:c r="A10" s="723"/>
      <x:c r="B10" s="718"/>
      <x:c r="C10" s="718"/>
      <x:c r="D10" s="719"/>
      <x:c r="E10" s="724"/>
      <x:c r="F10" s="741"/>
      <x:c r="G10" s="722"/>
    </x:row>
    <x:row r="11" spans="1:7" x14ac:dyDescent="0.2">
      <x:c r="A11" s="723"/>
      <x:c r="B11" s="718"/>
      <x:c r="C11" s="718"/>
      <x:c r="D11" s="719"/>
      <x:c r="E11" s="724"/>
      <x:c r="F11" s="741"/>
      <x:c r="G11" s="722"/>
    </x:row>
    <x:row r="12" spans="1:7" x14ac:dyDescent="0.2">
      <x:c r="A12" s="723"/>
      <x:c r="B12" s="718"/>
      <x:c r="C12" s="718"/>
      <x:c r="D12" s="719"/>
      <x:c r="E12" s="724"/>
      <x:c r="F12" s="741"/>
      <x:c r="G12" s="722"/>
    </x:row>
    <x:row r="13" spans="1:7" x14ac:dyDescent="0.2">
      <x:c r="A13" s="723"/>
      <x:c r="B13" s="718"/>
      <x:c r="C13" s="718"/>
      <x:c r="D13" s="719"/>
      <x:c r="E13" s="724"/>
      <x:c r="F13" s="741"/>
      <x:c r="G13" s="722"/>
    </x:row>
    <x:row r="14" spans="1:7" x14ac:dyDescent="0.2">
      <x:c r="A14" s="723"/>
      <x:c r="B14" s="718"/>
      <x:c r="C14" s="718"/>
      <x:c r="D14" s="719"/>
      <x:c r="E14" s="724"/>
      <x:c r="F14" s="741"/>
      <x:c r="G14" s="722"/>
    </x:row>
    <x:row r="15" spans="1:7" x14ac:dyDescent="0.2">
      <x:c r="A15" s="723"/>
      <x:c r="B15" s="718"/>
      <x:c r="C15" s="718"/>
      <x:c r="D15" s="719"/>
      <x:c r="E15" s="724"/>
      <x:c r="F15" s="741"/>
      <x:c r="G15" s="722"/>
    </x:row>
    <x:row r="16" spans="1:7" x14ac:dyDescent="0.2">
      <x:c r="A16" s="723"/>
      <x:c r="B16" s="718"/>
      <x:c r="C16" s="718"/>
      <x:c r="D16" s="719"/>
      <x:c r="E16" s="724"/>
      <x:c r="F16" s="741"/>
      <x:c r="G16" s="725"/>
    </x:row>
    <x:row r="17" spans="1:7" x14ac:dyDescent="0.2">
      <x:c r="A17" s="723"/>
      <x:c r="B17" s="718"/>
      <x:c r="C17" s="718"/>
      <x:c r="D17" s="719"/>
      <x:c r="E17" s="724"/>
      <x:c r="F17" s="741"/>
      <x:c r="G17" s="725"/>
    </x:row>
    <x:row r="18" spans="1:7" x14ac:dyDescent="0.2">
      <x:c r="A18" s="723"/>
      <x:c r="B18" s="718"/>
      <x:c r="C18" s="718"/>
      <x:c r="D18" s="719"/>
      <x:c r="E18" s="724"/>
      <x:c r="F18" s="741"/>
      <x:c r="G18" s="725"/>
    </x:row>
    <x:row r="19" spans="1:7" x14ac:dyDescent="0.2">
      <x:c r="A19" s="723"/>
      <x:c r="B19" s="718"/>
      <x:c r="C19" s="718"/>
      <x:c r="D19" s="719"/>
      <x:c r="E19" s="724"/>
      <x:c r="F19" s="741"/>
      <x:c r="G19" s="722"/>
    </x:row>
    <x:row r="20" spans="1:7" x14ac:dyDescent="0.2">
      <x:c r="A20" s="723"/>
      <x:c r="B20" s="718"/>
      <x:c r="C20" s="718"/>
      <x:c r="D20" s="719"/>
      <x:c r="E20" s="724"/>
      <x:c r="F20" s="741"/>
      <x:c r="G20" s="725"/>
    </x:row>
    <x:row r="21" spans="1:7" x14ac:dyDescent="0.2">
      <x:c r="A21" s="723"/>
      <x:c r="B21" s="718"/>
      <x:c r="C21" s="718"/>
      <x:c r="D21" s="719"/>
      <x:c r="E21" s="724"/>
      <x:c r="F21" s="741"/>
      <x:c r="G21" s="725"/>
    </x:row>
    <x:row r="22" spans="1:7" x14ac:dyDescent="0.2">
      <x:c r="A22" s="723"/>
      <x:c r="B22" s="718"/>
      <x:c r="C22" s="718"/>
      <x:c r="D22" s="719"/>
      <x:c r="E22" s="724"/>
      <x:c r="F22" s="741"/>
      <x:c r="G22" s="725"/>
    </x:row>
    <x:row r="23" spans="1:7" x14ac:dyDescent="0.2">
      <x:c r="A23" s="723"/>
      <x:c r="B23" s="718"/>
      <x:c r="C23" s="718"/>
      <x:c r="D23" s="719"/>
      <x:c r="E23" s="724"/>
      <x:c r="F23" s="741"/>
      <x:c r="G23" s="725"/>
    </x:row>
    <x:row r="24" spans="1:7" x14ac:dyDescent="0.2">
      <x:c r="A24" s="723"/>
      <x:c r="B24" s="718"/>
      <x:c r="C24" s="718"/>
      <x:c r="D24" s="719"/>
      <x:c r="E24" s="724"/>
      <x:c r="F24" s="741"/>
      <x:c r="G24" s="725"/>
    </x:row>
    <x:row r="25" spans="1:7" x14ac:dyDescent="0.2">
      <x:c r="A25" s="723"/>
      <x:c r="B25" s="718"/>
      <x:c r="C25" s="718"/>
      <x:c r="D25" s="719"/>
      <x:c r="E25" s="724"/>
      <x:c r="F25" s="741"/>
      <x:c r="G25" s="725"/>
    </x:row>
    <x:row r="26" spans="1:7" x14ac:dyDescent="0.2">
      <x:c r="A26" s="723"/>
      <x:c r="B26" s="718"/>
      <x:c r="C26" s="718"/>
      <x:c r="D26" s="719"/>
      <x:c r="E26" s="724"/>
      <x:c r="F26" s="741"/>
      <x:c r="G26" s="725"/>
    </x:row>
    <x:row r="27" spans="1:7" x14ac:dyDescent="0.2">
      <x:c r="A27" s="723"/>
      <x:c r="B27" s="718"/>
      <x:c r="C27" s="718"/>
      <x:c r="D27" s="719"/>
      <x:c r="E27" s="724"/>
      <x:c r="F27" s="741"/>
      <x:c r="G27" s="725"/>
    </x:row>
    <x:row r="28" spans="1:7" x14ac:dyDescent="0.2">
      <x:c r="A28" s="723"/>
      <x:c r="B28" s="718"/>
      <x:c r="C28" s="718"/>
      <x:c r="D28" s="719"/>
      <x:c r="E28" s="724"/>
      <x:c r="F28" s="741"/>
      <x:c r="G28" s="725"/>
    </x:row>
    <x:row r="29" spans="1:7" x14ac:dyDescent="0.2">
      <x:c r="A29" s="723"/>
      <x:c r="B29" s="718"/>
      <x:c r="C29" s="718"/>
      <x:c r="D29" s="719"/>
      <x:c r="E29" s="724"/>
      <x:c r="F29" s="741"/>
      <x:c r="G29" s="725"/>
    </x:row>
    <x:row r="30" spans="1:7" x14ac:dyDescent="0.2">
      <x:c r="A30" s="723"/>
      <x:c r="B30" s="718"/>
      <x:c r="C30" s="718"/>
      <x:c r="D30" s="719"/>
      <x:c r="E30" s="724"/>
      <x:c r="F30" s="741"/>
      <x:c r="G30" s="725"/>
    </x:row>
    <x:row r="31" spans="1:7" x14ac:dyDescent="0.2">
      <x:c r="A31" s="723"/>
      <x:c r="B31" s="718"/>
      <x:c r="C31" s="718"/>
      <x:c r="D31" s="719"/>
      <x:c r="E31" s="724"/>
      <x:c r="F31" s="741"/>
      <x:c r="G31" s="725"/>
    </x:row>
    <x:row r="32" spans="1:7" x14ac:dyDescent="0.2">
      <x:c r="A32" s="723"/>
      <x:c r="B32" s="718"/>
      <x:c r="C32" s="718"/>
      <x:c r="D32" s="719"/>
      <x:c r="E32" s="724"/>
      <x:c r="F32" s="741"/>
      <x:c r="G32" s="725"/>
    </x:row>
    <x:row r="33" spans="1:7" x14ac:dyDescent="0.2">
      <x:c r="A33" s="723"/>
      <x:c r="B33" s="718"/>
      <x:c r="C33" s="718"/>
      <x:c r="D33" s="719"/>
      <x:c r="E33" s="724"/>
      <x:c r="F33" s="741"/>
      <x:c r="G33" s="725"/>
    </x:row>
    <x:row r="34" spans="1:7" x14ac:dyDescent="0.2">
      <x:c r="A34" s="723"/>
      <x:c r="B34" s="718"/>
      <x:c r="C34" s="718"/>
      <x:c r="D34" s="719"/>
      <x:c r="E34" s="724"/>
      <x:c r="F34" s="741"/>
      <x:c r="G34" s="725"/>
    </x:row>
    <x:row r="35" spans="1:7" x14ac:dyDescent="0.2">
      <x:c r="A35" s="723"/>
      <x:c r="B35" s="718"/>
      <x:c r="C35" s="718"/>
      <x:c r="D35" s="719"/>
      <x:c r="E35" s="724"/>
      <x:c r="F35" s="741"/>
      <x:c r="G35" s="725"/>
    </x:row>
    <x:row r="36" spans="1:7" x14ac:dyDescent="0.2">
      <x:c r="A36" s="723"/>
      <x:c r="B36" s="718"/>
      <x:c r="C36" s="718"/>
      <x:c r="D36" s="719"/>
      <x:c r="E36" s="724"/>
      <x:c r="F36" s="741"/>
      <x:c r="G36" s="725"/>
    </x:row>
    <x:row r="37" spans="1:7" x14ac:dyDescent="0.2">
      <x:c r="A37" s="723"/>
      <x:c r="B37" s="718"/>
      <x:c r="C37" s="718"/>
      <x:c r="D37" s="719"/>
      <x:c r="E37" s="724"/>
      <x:c r="F37" s="741"/>
      <x:c r="G37" s="725"/>
    </x:row>
    <x:row r="38" spans="1:7" x14ac:dyDescent="0.2">
      <x:c r="A38" s="723"/>
      <x:c r="B38" s="718"/>
      <x:c r="C38" s="718"/>
      <x:c r="D38" s="719"/>
      <x:c r="E38" s="724"/>
      <x:c r="F38" s="741"/>
      <x:c r="G38" s="725"/>
    </x:row>
    <x:row r="39" spans="1:7" x14ac:dyDescent="0.2">
      <x:c r="A39" s="723"/>
      <x:c r="B39" s="718"/>
      <x:c r="C39" s="718"/>
      <x:c r="D39" s="719"/>
      <x:c r="E39" s="724"/>
      <x:c r="F39" s="741"/>
      <x:c r="G39" s="725"/>
    </x:row>
    <x:row r="40" spans="1:7" x14ac:dyDescent="0.2">
      <x:c r="A40" s="723"/>
      <x:c r="B40" s="718"/>
      <x:c r="C40" s="718"/>
      <x:c r="D40" s="719"/>
      <x:c r="E40" s="724"/>
      <x:c r="F40" s="741"/>
      <x:c r="G40" s="725"/>
    </x:row>
    <x:row r="41" spans="1:7" x14ac:dyDescent="0.2">
      <x:c r="A41" s="723"/>
      <x:c r="B41" s="718"/>
      <x:c r="C41" s="718"/>
      <x:c r="D41" s="719"/>
      <x:c r="E41" s="724"/>
      <x:c r="F41" s="741"/>
      <x:c r="G41" s="725"/>
    </x:row>
    <x:row r="42" spans="1:7" x14ac:dyDescent="0.2">
      <x:c r="A42" s="723"/>
      <x:c r="B42" s="718"/>
      <x:c r="C42" s="718"/>
      <x:c r="D42" s="719"/>
      <x:c r="E42" s="724"/>
      <x:c r="F42" s="741"/>
      <x:c r="G42" s="725"/>
    </x:row>
    <x:row r="43" spans="1:7" x14ac:dyDescent="0.2">
      <x:c r="A43" s="723"/>
      <x:c r="B43" s="718"/>
      <x:c r="C43" s="718"/>
      <x:c r="D43" s="719"/>
      <x:c r="E43" s="724"/>
      <x:c r="F43" s="741"/>
      <x:c r="G43" s="725"/>
    </x:row>
    <x:row r="44" spans="1:7" x14ac:dyDescent="0.2">
      <x:c r="A44" s="723"/>
      <x:c r="B44" s="718"/>
      <x:c r="C44" s="718"/>
      <x:c r="D44" s="719"/>
      <x:c r="E44" s="724"/>
      <x:c r="F44" s="741"/>
      <x:c r="G44" s="725"/>
    </x:row>
    <x:row r="45" spans="1:7" x14ac:dyDescent="0.2">
      <x:c r="A45" s="723"/>
      <x:c r="B45" s="718"/>
      <x:c r="C45" s="718"/>
      <x:c r="D45" s="719"/>
      <x:c r="E45" s="724"/>
      <x:c r="F45" s="741"/>
      <x:c r="G45" s="725"/>
    </x:row>
    <x:row r="46" spans="1:7" x14ac:dyDescent="0.2">
      <x:c r="A46" s="723"/>
      <x:c r="B46" s="718"/>
      <x:c r="C46" s="718"/>
      <x:c r="D46" s="719"/>
      <x:c r="E46" s="724"/>
      <x:c r="F46" s="741"/>
      <x:c r="G46" s="725"/>
    </x:row>
    <x:row r="47" spans="1:7" x14ac:dyDescent="0.2">
      <x:c r="A47" s="723"/>
      <x:c r="B47" s="718"/>
      <x:c r="C47" s="718"/>
      <x:c r="D47" s="719"/>
      <x:c r="E47" s="724"/>
      <x:c r="F47" s="741"/>
      <x:c r="G47" s="725"/>
    </x:row>
    <x:row r="48" spans="1:7" x14ac:dyDescent="0.2">
      <x:c r="A48" s="723"/>
      <x:c r="B48" s="718"/>
      <x:c r="C48" s="718"/>
      <x:c r="D48" s="719"/>
      <x:c r="E48" s="724"/>
      <x:c r="F48" s="741"/>
      <x:c r="G48" s="725"/>
    </x:row>
    <x:row r="49" spans="1:7" x14ac:dyDescent="0.2">
      <x:c r="A49" s="723"/>
      <x:c r="B49" s="718"/>
      <x:c r="C49" s="718"/>
      <x:c r="D49" s="719"/>
      <x:c r="E49" s="724"/>
      <x:c r="F49" s="741"/>
      <x:c r="G49" s="725"/>
    </x:row>
    <x:row r="50" spans="1:7" x14ac:dyDescent="0.2">
      <x:c r="A50" s="723"/>
      <x:c r="B50" s="718"/>
      <x:c r="C50" s="718"/>
      <x:c r="D50" s="719"/>
      <x:c r="E50" s="724"/>
      <x:c r="F50" s="741"/>
      <x:c r="G50" s="725"/>
    </x:row>
    <x:row r="51" spans="1:7" x14ac:dyDescent="0.2">
      <x:c r="A51" s="723"/>
      <x:c r="B51" s="718"/>
      <x:c r="C51" s="718"/>
      <x:c r="D51" s="719"/>
      <x:c r="E51" s="724"/>
      <x:c r="F51" s="741"/>
      <x:c r="G51" s="725"/>
    </x:row>
    <x:row r="52" spans="1:7" x14ac:dyDescent="0.2">
      <x:c r="A52" s="723"/>
      <x:c r="B52" s="718"/>
      <x:c r="C52" s="718"/>
      <x:c r="D52" s="719"/>
      <x:c r="E52" s="724"/>
      <x:c r="F52" s="741"/>
      <x:c r="G52" s="725"/>
    </x:row>
    <x:row r="53" spans="1:7" x14ac:dyDescent="0.2">
      <x:c r="A53" s="723"/>
      <x:c r="B53" s="718"/>
      <x:c r="C53" s="718"/>
      <x:c r="D53" s="719"/>
      <x:c r="E53" s="724"/>
      <x:c r="F53" s="741"/>
      <x:c r="G53" s="725"/>
    </x:row>
    <x:row r="54" spans="1:7" x14ac:dyDescent="0.2">
      <x:c r="A54" s="723"/>
      <x:c r="B54" s="718"/>
      <x:c r="C54" s="718"/>
      <x:c r="D54" s="719"/>
      <x:c r="E54" s="724"/>
      <x:c r="F54" s="741"/>
      <x:c r="G54" s="725"/>
    </x:row>
    <x:row r="55" spans="1:7" x14ac:dyDescent="0.2">
      <x:c r="A55" s="723"/>
      <x:c r="B55" s="718"/>
      <x:c r="C55" s="718"/>
      <x:c r="D55" s="719"/>
      <x:c r="E55" s="724"/>
      <x:c r="F55" s="741"/>
      <x:c r="G55" s="725"/>
    </x:row>
    <x:row r="56" spans="1:7" x14ac:dyDescent="0.2">
      <x:c r="A56" s="723"/>
      <x:c r="B56" s="718"/>
      <x:c r="C56" s="718"/>
      <x:c r="D56" s="719"/>
      <x:c r="E56" s="724"/>
      <x:c r="F56" s="741"/>
      <x:c r="G56" s="725"/>
    </x:row>
    <x:row r="57" spans="1:7" x14ac:dyDescent="0.2">
      <x:c r="A57" s="723"/>
      <x:c r="B57" s="718"/>
      <x:c r="C57" s="718"/>
      <x:c r="D57" s="719"/>
      <x:c r="E57" s="724"/>
      <x:c r="F57" s="741"/>
      <x:c r="G57" s="725"/>
    </x:row>
    <x:row r="58" spans="1:7" x14ac:dyDescent="0.2">
      <x:c r="A58" s="723"/>
      <x:c r="B58" s="718"/>
      <x:c r="C58" s="718"/>
      <x:c r="D58" s="719"/>
      <x:c r="E58" s="724"/>
      <x:c r="F58" s="741"/>
      <x:c r="G58" s="725"/>
    </x:row>
    <x:row r="59" spans="1:7" x14ac:dyDescent="0.2">
      <x:c r="A59" s="723"/>
      <x:c r="B59" s="718"/>
      <x:c r="C59" s="718"/>
      <x:c r="D59" s="719"/>
      <x:c r="E59" s="724"/>
      <x:c r="F59" s="741"/>
      <x:c r="G59" s="725"/>
    </x:row>
    <x:row r="60" spans="1:7" x14ac:dyDescent="0.2">
      <x:c r="A60" s="723"/>
      <x:c r="B60" s="718"/>
      <x:c r="C60" s="718"/>
      <x:c r="D60" s="719"/>
      <x:c r="E60" s="724"/>
      <x:c r="F60" s="741"/>
      <x:c r="G60" s="725"/>
    </x:row>
    <x:row r="61" spans="1:7" x14ac:dyDescent="0.2">
      <x:c r="A61" s="723"/>
      <x:c r="B61" s="718"/>
      <x:c r="C61" s="718"/>
      <x:c r="D61" s="719"/>
      <x:c r="E61" s="724"/>
      <x:c r="F61" s="741"/>
      <x:c r="G61" s="725"/>
    </x:row>
    <x:row r="62" spans="1:7" x14ac:dyDescent="0.2">
      <x:c r="A62" s="723"/>
      <x:c r="B62" s="718"/>
      <x:c r="C62" s="718"/>
      <x:c r="D62" s="719"/>
      <x:c r="E62" s="724"/>
      <x:c r="F62" s="741"/>
      <x:c r="G62" s="725"/>
    </x:row>
    <x:row r="63" spans="1:7" x14ac:dyDescent="0.2">
      <x:c r="A63" s="723"/>
      <x:c r="B63" s="718"/>
      <x:c r="C63" s="718"/>
      <x:c r="D63" s="719"/>
      <x:c r="E63" s="724"/>
      <x:c r="F63" s="741"/>
      <x:c r="G63" s="725"/>
    </x:row>
    <x:row r="64" spans="1:7" x14ac:dyDescent="0.2">
      <x:c r="A64" s="723"/>
      <x:c r="B64" s="718"/>
      <x:c r="C64" s="718"/>
      <x:c r="D64" s="719"/>
      <x:c r="E64" s="724"/>
      <x:c r="F64" s="741"/>
      <x:c r="G64" s="725"/>
    </x:row>
    <x:row r="65" spans="1:7" x14ac:dyDescent="0.2">
      <x:c r="A65" s="723"/>
      <x:c r="B65" s="718"/>
      <x:c r="C65" s="718"/>
      <x:c r="D65" s="719"/>
      <x:c r="E65" s="724"/>
      <x:c r="F65" s="741"/>
      <x:c r="G65" s="725"/>
    </x:row>
    <x:row r="66" spans="1:7" x14ac:dyDescent="0.2">
      <x:c r="A66" s="723"/>
      <x:c r="B66" s="718"/>
      <x:c r="C66" s="718"/>
      <x:c r="D66" s="719"/>
      <x:c r="E66" s="724"/>
      <x:c r="F66" s="741"/>
      <x:c r="G66" s="725"/>
    </x:row>
    <x:row r="67" spans="1:7" x14ac:dyDescent="0.2">
      <x:c r="A67" s="723"/>
      <x:c r="B67" s="718"/>
      <x:c r="C67" s="718"/>
      <x:c r="D67" s="719"/>
      <x:c r="E67" s="724"/>
      <x:c r="F67" s="741"/>
      <x:c r="G67" s="725"/>
    </x:row>
    <x:row r="68" spans="1:7" x14ac:dyDescent="0.2">
      <x:c r="A68" s="723"/>
      <x:c r="B68" s="718"/>
      <x:c r="C68" s="718"/>
      <x:c r="D68" s="719"/>
      <x:c r="E68" s="724"/>
      <x:c r="F68" s="741"/>
      <x:c r="G68" s="725"/>
    </x:row>
    <x:row r="69" spans="1:7" x14ac:dyDescent="0.2">
      <x:c r="A69" s="723"/>
      <x:c r="B69" s="718"/>
      <x:c r="C69" s="718"/>
      <x:c r="D69" s="719"/>
      <x:c r="E69" s="724"/>
      <x:c r="F69" s="741"/>
      <x:c r="G69" s="725"/>
    </x:row>
    <x:row r="70" spans="1:7" x14ac:dyDescent="0.2">
      <x:c r="A70" s="723"/>
      <x:c r="B70" s="718"/>
      <x:c r="C70" s="718"/>
      <x:c r="D70" s="719"/>
      <x:c r="E70" s="724"/>
      <x:c r="F70" s="741"/>
      <x:c r="G70" s="725"/>
    </x:row>
    <x:row r="71" spans="1:7" x14ac:dyDescent="0.2">
      <x:c r="A71" s="723"/>
      <x:c r="B71" s="718"/>
      <x:c r="C71" s="718"/>
      <x:c r="D71" s="719"/>
      <x:c r="E71" s="724"/>
      <x:c r="F71" s="741"/>
      <x:c r="G71" s="725"/>
    </x:row>
    <x:row r="72" spans="1:7" x14ac:dyDescent="0.2">
      <x:c r="A72" s="723"/>
      <x:c r="B72" s="718"/>
      <x:c r="C72" s="718"/>
      <x:c r="D72" s="719"/>
      <x:c r="E72" s="724"/>
      <x:c r="F72" s="741"/>
      <x:c r="G72" s="725"/>
    </x:row>
    <x:row r="73" spans="1:7" x14ac:dyDescent="0.2">
      <x:c r="A73" s="723"/>
      <x:c r="B73" s="718"/>
      <x:c r="C73" s="718"/>
      <x:c r="D73" s="719"/>
      <x:c r="E73" s="724"/>
      <x:c r="F73" s="741"/>
      <x:c r="G73" s="725"/>
    </x:row>
    <x:row r="74" spans="1:7" x14ac:dyDescent="0.2">
      <x:c r="A74" s="723"/>
      <x:c r="B74" s="718"/>
      <x:c r="C74" s="718"/>
      <x:c r="D74" s="719"/>
      <x:c r="E74" s="724"/>
      <x:c r="F74" s="741"/>
      <x:c r="G74" s="725"/>
    </x:row>
    <x:row r="75" spans="1:7" x14ac:dyDescent="0.2">
      <x:c r="A75" s="723"/>
      <x:c r="B75" s="718"/>
      <x:c r="C75" s="718"/>
      <x:c r="D75" s="719"/>
      <x:c r="E75" s="724"/>
      <x:c r="F75" s="741"/>
      <x:c r="G75" s="725"/>
    </x:row>
    <x:row r="76" spans="1:7" x14ac:dyDescent="0.2">
      <x:c r="A76" s="723"/>
      <x:c r="B76" s="718"/>
      <x:c r="C76" s="718"/>
      <x:c r="D76" s="719"/>
      <x:c r="E76" s="724"/>
      <x:c r="F76" s="741"/>
      <x:c r="G76" s="725"/>
    </x:row>
    <x:row r="77" spans="1:7" x14ac:dyDescent="0.2">
      <x:c r="A77" s="723"/>
      <x:c r="B77" s="718"/>
      <x:c r="C77" s="718"/>
      <x:c r="D77" s="719"/>
      <x:c r="E77" s="724"/>
      <x:c r="F77" s="741"/>
      <x:c r="G77" s="725"/>
    </x:row>
    <x:row r="78" spans="1:7" x14ac:dyDescent="0.2">
      <x:c r="A78" s="723"/>
      <x:c r="B78" s="718"/>
      <x:c r="C78" s="718"/>
      <x:c r="D78" s="719"/>
      <x:c r="E78" s="724"/>
      <x:c r="F78" s="741"/>
      <x:c r="G78" s="725"/>
    </x:row>
    <x:row r="79" spans="1:7" x14ac:dyDescent="0.2">
      <x:c r="A79" s="723"/>
      <x:c r="B79" s="718"/>
      <x:c r="C79" s="718"/>
      <x:c r="D79" s="719"/>
      <x:c r="E79" s="724"/>
      <x:c r="F79" s="741"/>
      <x:c r="G79" s="725"/>
    </x:row>
    <x:row r="80" spans="1:7" x14ac:dyDescent="0.2">
      <x:c r="A80" s="723"/>
      <x:c r="B80" s="718"/>
      <x:c r="C80" s="718"/>
      <x:c r="D80" s="719"/>
      <x:c r="E80" s="724"/>
      <x:c r="F80" s="741"/>
      <x:c r="G80" s="725"/>
    </x:row>
    <x:row r="81" spans="1:7" x14ac:dyDescent="0.2">
      <x:c r="A81" s="723"/>
      <x:c r="B81" s="718"/>
      <x:c r="C81" s="718"/>
      <x:c r="D81" s="719"/>
      <x:c r="E81" s="724"/>
      <x:c r="F81" s="741"/>
      <x:c r="G81" s="725"/>
    </x:row>
    <x:row r="82" spans="1:7" x14ac:dyDescent="0.2">
      <x:c r="A82" s="723"/>
      <x:c r="B82" s="718"/>
      <x:c r="C82" s="718"/>
      <x:c r="D82" s="719"/>
      <x:c r="E82" s="724"/>
      <x:c r="F82" s="741"/>
      <x:c r="G82" s="725"/>
    </x:row>
    <x:row r="83" spans="1:7" x14ac:dyDescent="0.2">
      <x:c r="A83" s="723"/>
      <x:c r="B83" s="718"/>
      <x:c r="C83" s="718"/>
      <x:c r="D83" s="719"/>
      <x:c r="E83" s="724"/>
      <x:c r="F83" s="741"/>
      <x:c r="G83" s="725"/>
    </x:row>
    <x:row r="84" spans="1:7" x14ac:dyDescent="0.2">
      <x:c r="A84" s="723"/>
      <x:c r="B84" s="718"/>
      <x:c r="C84" s="718"/>
      <x:c r="D84" s="719"/>
      <x:c r="E84" s="724"/>
      <x:c r="F84" s="741"/>
      <x:c r="G84" s="725"/>
    </x:row>
    <x:row r="85" spans="1:7" x14ac:dyDescent="0.2">
      <x:c r="A85" s="723"/>
      <x:c r="B85" s="718"/>
      <x:c r="C85" s="718"/>
      <x:c r="D85" s="719"/>
      <x:c r="E85" s="724"/>
      <x:c r="F85" s="741"/>
      <x:c r="G85" s="725"/>
    </x:row>
    <x:row r="86" spans="1:7" x14ac:dyDescent="0.2">
      <x:c r="A86" s="723"/>
      <x:c r="B86" s="718"/>
      <x:c r="C86" s="718"/>
      <x:c r="D86" s="719"/>
      <x:c r="E86" s="724"/>
      <x:c r="F86" s="741"/>
      <x:c r="G86" s="725"/>
    </x:row>
    <x:row r="87" spans="1:7" x14ac:dyDescent="0.2">
      <x:c r="A87" s="723"/>
      <x:c r="B87" s="718"/>
      <x:c r="C87" s="718"/>
      <x:c r="D87" s="719"/>
      <x:c r="E87" s="724"/>
      <x:c r="F87" s="741"/>
      <x:c r="G87" s="725"/>
    </x:row>
    <x:row r="88" spans="1:7" x14ac:dyDescent="0.2">
      <x:c r="A88" s="723"/>
      <x:c r="B88" s="718"/>
      <x:c r="C88" s="718"/>
      <x:c r="D88" s="719"/>
      <x:c r="E88" s="724"/>
      <x:c r="F88" s="741"/>
      <x:c r="G88" s="725"/>
    </x:row>
    <x:row r="89" spans="1:7" x14ac:dyDescent="0.2">
      <x:c r="A89" s="723"/>
      <x:c r="B89" s="718"/>
      <x:c r="C89" s="718"/>
      <x:c r="D89" s="719"/>
      <x:c r="E89" s="724"/>
      <x:c r="F89" s="741"/>
      <x:c r="G89" s="725"/>
    </x:row>
    <x:row r="90" spans="1:7" x14ac:dyDescent="0.2">
      <x:c r="A90" s="723"/>
      <x:c r="B90" s="718"/>
      <x:c r="C90" s="718"/>
      <x:c r="D90" s="719"/>
      <x:c r="E90" s="724"/>
      <x:c r="F90" s="741"/>
      <x:c r="G90" s="725"/>
    </x:row>
    <x:row r="91" spans="1:7" x14ac:dyDescent="0.2">
      <x:c r="A91" s="723"/>
      <x:c r="B91" s="718"/>
      <x:c r="C91" s="718"/>
      <x:c r="D91" s="719"/>
      <x:c r="E91" s="724"/>
      <x:c r="F91" s="741"/>
      <x:c r="G91" s="725"/>
    </x:row>
    <x:row r="92" spans="1:7" x14ac:dyDescent="0.2">
      <x:c r="A92" s="723"/>
      <x:c r="B92" s="718"/>
      <x:c r="C92" s="718"/>
      <x:c r="D92" s="719"/>
      <x:c r="E92" s="724"/>
      <x:c r="F92" s="741"/>
      <x:c r="G92" s="725"/>
    </x:row>
    <x:row r="93" spans="1:7" x14ac:dyDescent="0.2">
      <x:c r="A93" s="723"/>
      <x:c r="B93" s="718"/>
      <x:c r="C93" s="718"/>
      <x:c r="D93" s="719"/>
      <x:c r="E93" s="724"/>
      <x:c r="F93" s="741"/>
      <x:c r="G93" s="725"/>
    </x:row>
    <x:row r="94" spans="1:7" x14ac:dyDescent="0.2">
      <x:c r="A94" s="723"/>
      <x:c r="B94" s="718"/>
      <x:c r="C94" s="718"/>
      <x:c r="D94" s="719"/>
      <x:c r="E94" s="724"/>
      <x:c r="F94" s="741"/>
      <x:c r="G94" s="725"/>
    </x:row>
    <x:row r="95" spans="1:7" x14ac:dyDescent="0.2">
      <x:c r="A95" s="723"/>
      <x:c r="B95" s="718"/>
      <x:c r="C95" s="718"/>
      <x:c r="D95" s="719"/>
      <x:c r="E95" s="724"/>
      <x:c r="F95" s="741"/>
      <x:c r="G95" s="725"/>
    </x:row>
    <x:row r="96" spans="1:7" x14ac:dyDescent="0.2">
      <x:c r="A96" s="723"/>
      <x:c r="B96" s="718"/>
      <x:c r="C96" s="718"/>
      <x:c r="D96" s="719"/>
      <x:c r="E96" s="724"/>
      <x:c r="F96" s="741"/>
      <x:c r="G96" s="725"/>
    </x:row>
    <x:row r="97" spans="1:7" x14ac:dyDescent="0.2">
      <x:c r="A97" s="723"/>
      <x:c r="B97" s="718"/>
      <x:c r="C97" s="718"/>
      <x:c r="D97" s="719"/>
      <x:c r="E97" s="724"/>
      <x:c r="F97" s="741"/>
      <x:c r="G97" s="725"/>
    </x:row>
    <x:row r="98" spans="1:7" x14ac:dyDescent="0.2">
      <x:c r="A98" s="723"/>
      <x:c r="B98" s="718"/>
      <x:c r="C98" s="718"/>
      <x:c r="D98" s="719"/>
      <x:c r="E98" s="724"/>
      <x:c r="F98" s="741"/>
      <x:c r="G98" s="725"/>
    </x:row>
    <x:row r="99" spans="1:7" x14ac:dyDescent="0.2">
      <x:c r="A99" s="723"/>
      <x:c r="B99" s="718"/>
      <x:c r="C99" s="718"/>
      <x:c r="D99" s="719"/>
      <x:c r="E99" s="724"/>
      <x:c r="F99" s="741"/>
      <x:c r="G99" s="725"/>
    </x:row>
    <x:row r="100" spans="1:7" x14ac:dyDescent="0.2">
      <x:c r="A100" s="717" t="s">
        <x:v>148</x:v>
      </x:c>
      <x:c r="B100" s="745">
        <x:f>SUM(B4:B99)</x:f>
        <x:v>14</x:v>
      </x:c>
      <x:c r="C100" s="745"/>
      <x:c r="D100" s="719"/>
      <x:c r="E100" s="721"/>
      <x:c r="F100" s="716"/>
      <x:c r="G100" s="723"/>
    </x:row>
    <x:row r="101" spans="1:7" ht="34" customHeight="1" x14ac:dyDescent="0.2">
      <x:c r="A101" s="731" t="s">
        <x:v>125</x:v>
      </x:c>
      <x:c r="B101" s="710" t="s">
        <x:v>119</x:v>
      </x:c>
      <x:c r="C101" s="710" t="s">
        <x:v>120</x:v>
      </x:c>
      <x:c r="D101" s="710" t="s">
        <x:v>126</x:v>
      </x:c>
      <x:c r="E101" s="709"/>
      <x:c r="F101" s="732"/>
    </x:row>
    <x:row r="102" spans="1:7" x14ac:dyDescent="0.2">
      <x:c r="A102" s="733" t="str">
        <x:f>Summary!V4</x:f>
        <x:v>BA/Dev/Arch</x:v>
      </x:c>
      <x:c r="B102" s="708"/>
      <x:c r="C102" s="708"/>
      <x:c r="D102" s="708"/>
      <x:c r="E102" s="734"/>
      <x:c r="F102" s="734"/>
    </x:row>
    <x:row r="103" spans="1:7" x14ac:dyDescent="0.2">
      <x:c r="A103" s="733" t="str">
        <x:f>Summary!V5</x:f>
        <x:v>SME</x:v>
      </x:c>
      <x:c r="B103" s="708"/>
      <x:c r="C103" s="708"/>
      <x:c r="D103" s="708"/>
      <x:c r="E103" s="734"/>
      <x:c r="F103" s="734"/>
    </x:row>
    <x:row r="104" spans="1:7" x14ac:dyDescent="0.2">
      <x:c r="A104" s="733" t="str">
        <x:f>Summary!V6</x:f>
        <x:v>Consulting Eng</x:v>
      </x:c>
      <x:c r="B104" s="708"/>
      <x:c r="C104" s="708"/>
      <x:c r="D104" s="708"/>
      <x:c r="E104" s="734"/>
      <x:c r="F104" s="734"/>
    </x:row>
    <x:row r="105" spans="1:7" x14ac:dyDescent="0.2">
      <x:c r="A105" s="733" t="str">
        <x:f>Summary!V7</x:f>
        <x:v>Associate Eng</x:v>
      </x:c>
      <x:c r="B105" s="708"/>
      <x:c r="C105" s="708"/>
      <x:c r="D105" s="708"/>
    </x:row>
    <x:row r="106" spans="1:7" x14ac:dyDescent="0.2">
      <x:c r="A106" s="735" t="s">
        <x:v>127</x:v>
      </x:c>
      <x:c r="B106" s="736"/>
      <x:c r="C106" s="736"/>
      <x:c r="D106" s="736"/>
    </x:row>
    <x:row r="108" spans="1:7" ht="34" customHeight="1" x14ac:dyDescent="0.2">
      <x:c r="A108" s="731" t="s">
        <x:v>128</x:v>
      </x:c>
      <x:c r="B108" s="710"/>
      <x:c r="C108" s="710"/>
      <x:c r="D108" s="710"/>
      <x:c r="E108" s="709" t="s">
        <x:v>93</x:v>
      </x:c>
    </x:row>
    <x:row r="109" spans="1:7" x14ac:dyDescent="0.2">
      <x:c r="A109" s="733" t="str">
        <x:f>Summary!V4</x:f>
        <x:v>BA/Dev/Arch</x:v>
      </x:c>
      <x:c r="B109" s="708"/>
      <x:c r="C109" s="708"/>
      <x:c r="D109" s="708"/>
      <x:c r="E109" s="734">
        <x:f>SUM(B109:D109)</x:f>
        <x:v>0</x:v>
      </x:c>
      <x:c r="F109" s="737"/>
    </x:row>
    <x:row r="110" spans="1:7" x14ac:dyDescent="0.2">
      <x:c r="A110" s="733" t="str">
        <x:f>Summary!V5</x:f>
        <x:v>SME</x:v>
      </x:c>
      <x:c r="B110" s="708"/>
      <x:c r="C110" s="708"/>
      <x:c r="D110" s="708"/>
      <x:c r="E110" s="734">
        <x:f>SUM(B110:D110)</x:f>
        <x:v>0</x:v>
      </x:c>
      <x:c r="F110" s="732"/>
    </x:row>
    <x:row r="111" spans="1:7" x14ac:dyDescent="0.2">
      <x:c r="A111" s="733" t="str">
        <x:f>Summary!V6</x:f>
        <x:v>Consulting Eng</x:v>
      </x:c>
      <x:c r="B111" s="708"/>
      <x:c r="C111" s="708"/>
      <x:c r="D111" s="708"/>
      <x:c r="E111" s="734">
        <x:f>SUM(B111:D111)</x:f>
        <x:v>0</x:v>
      </x:c>
      <x:c r="F111" s="734"/>
    </x:row>
    <x:row r="112" spans="1:7" x14ac:dyDescent="0.2">
      <x:c r="A112" s="733" t="str">
        <x:f>Summary!V7</x:f>
        <x:v>Associate Eng</x:v>
      </x:c>
      <x:c r="B112" s="708"/>
      <x:c r="C112" s="708"/>
      <x:c r="D112" s="708"/>
      <x:c r="E112" s="734">
        <x:f>SUM(B112:D112)</x:f>
        <x:v>0</x:v>
      </x:c>
      <x:c r="F112" s="734"/>
    </x:row>
    <x:row r="113" spans="1:7" x14ac:dyDescent="0.2">
      <x:c r="A113" s="735" t="s">
        <x:v>129</x:v>
      </x:c>
      <x:c r="B113" s="736"/>
      <x:c r="C113" s="736"/>
      <x:c r="D113" s="736"/>
      <x:c r="E113" s="738">
        <x:f>SUM(E109:E112)</x:f>
        <x:v>0</x:v>
      </x:c>
      <x:c r="F113" s="734"/>
    </x:row>
    <x:row r="114" spans="1:7" x14ac:dyDescent="0.2">
      <x:c r="F114" s="737"/>
    </x:row>
    <x:row r="115" spans="1:7" ht="34" customHeight="1" x14ac:dyDescent="0.2">
      <x:c r="A115" s="731" t="s">
        <x:v>130</x:v>
      </x:c>
      <x:c r="B115" s="710"/>
      <x:c r="C115" s="710"/>
      <x:c r="D115" s="710"/>
      <x:c r="E115" s="737"/>
    </x:row>
    <x:row r="116" spans="1:7" x14ac:dyDescent="0.2">
      <x:c r="A116" s="733" t="str">
        <x:f>Summary!V4</x:f>
        <x:v>BA/Dev/Arch</x:v>
      </x:c>
      <x:c r="B116" s="708"/>
      <x:c r="C116" s="708"/>
      <x:c r="D116" s="708"/>
      <x:c r="E116" s="737"/>
    </x:row>
    <x:row r="117" spans="1:7" x14ac:dyDescent="0.2">
      <x:c r="A117" s="733" t="str">
        <x:f>Summary!V5</x:f>
        <x:v>SME</x:v>
      </x:c>
      <x:c r="B117" s="708"/>
      <x:c r="C117" s="708"/>
      <x:c r="D117" s="708"/>
      <x:c r="E117" s="737"/>
    </x:row>
    <x:row r="118" spans="1:7" x14ac:dyDescent="0.2">
      <x:c r="A118" s="733" t="str">
        <x:f>Summary!V6</x:f>
        <x:v>Consulting Eng</x:v>
      </x:c>
      <x:c r="B118" s="708"/>
      <x:c r="C118" s="708"/>
      <x:c r="D118" s="708"/>
      <x:c r="E118" s="737"/>
    </x:row>
    <x:row r="119" spans="1:7" x14ac:dyDescent="0.2">
      <x:c r="A119" s="733" t="str">
        <x:f>Summary!V7</x:f>
        <x:v>Associate Eng</x:v>
      </x:c>
      <x:c r="B119" s="708"/>
      <x:c r="C119" s="708"/>
      <x:c r="D119" s="708"/>
      <x:c r="E119" s="737"/>
    </x:row>
    <x:row r="120" spans="1:7" x14ac:dyDescent="0.2">
      <x:c r="A120" s="735" t="s">
        <x:v>131</x:v>
      </x:c>
      <x:c r="B120" s="736">
        <x:f>SUM(B116:B119)</x:f>
        <x:v>0</x:v>
      </x:c>
      <x:c r="C120" s="736">
        <x:f>SUM(C116:C119)</x:f>
        <x:v>0</x:v>
      </x:c>
      <x:c r="D120" s="736">
        <x:f>SUM(D116:D119)</x:f>
        <x:v>0</x:v>
      </x:c>
      <x:c r="E120" s="739"/>
    </x:row>
  </x:sheetData>
  <x:sheetProtection algorithmName="SHA-512" hashValue="2SFX5Q9MZNkwq1Kwauj7Y5tA/C+JdES1QOAA6ktYhvUAChF9+VMMbMRWM85ySVvwG/vhldUnBaFBS+El1rqLVQ==" saltValue="dxyFu5p/tbpD+5NQmyM7Pg==" spinCount="100000" sheet="1" formatCells="0" formatColumns="0" formatRows="0" insertHyperlinks="0" selectLockedCells="1"/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100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5">
    <x:tabColor theme="6" tint="0.3999755851924192"/>
    <x:outlinePr summaryBelow="1" summaryRight="1"/>
    <x:pageSetUpPr fitToPage="1"/>
  </x:sheetPr>
  <x:dimension ref="A1:G120"/>
  <x:sheetViews>
    <x:sheetView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baseColWidth="10" defaultColWidth="11.155069" defaultRowHeight="16" x14ac:dyDescent="0.2"/>
  <x:cols>
    <x:col min="8" max="16384" width="11.155069" style="707" customWidth="1"/>
    <x:col min="1" max="1" width="60.710625" style="707" customWidth="1"/>
    <x:col min="2" max="4" width="12.710625" style="708" customWidth="1"/>
    <x:col min="5" max="5" width="22.710625" style="707" bestFit="1" customWidth="1"/>
    <x:col min="6" max="6" width="18.710625" style="707" customWidth="1"/>
    <x:col min="7" max="7" width="50.710625" style="707" customWidth="1"/>
  </x:cols>
  <x:sheetData>
    <x:row r="1" spans="1:7" ht="45" customHeight="1" x14ac:dyDescent="0.2">
      <x:c r="A1" s="709" t="s">
        <x:v>118</x:v>
      </x:c>
      <x:c r="B1" s="710" t="s">
        <x:v>139</x:v>
      </x:c>
      <x:c r="C1" s="710" t="s">
        <x:v>140</x:v>
      </x:c>
      <x:c r="D1" s="710" t="s">
        <x:v>121</x:v>
      </x:c>
      <x:c r="E1" s="709" t="s">
        <x:v>122</x:v>
      </x:c>
      <x:c r="F1" s="709" t="s">
        <x:v>123</x:v>
      </x:c>
      <x:c r="G1" s="709" t="s">
        <x:v>124</x:v>
      </x:c>
    </x:row>
    <x:row r="2" spans="1:7" ht="32" customHeight="1" x14ac:dyDescent="0.2">
      <x:c r="A2" s="746" t="s">
        <x:v>160</x:v>
      </x:c>
      <x:c r="B2" s="712"/>
      <x:c r="C2" s="712"/>
      <x:c r="D2" s="712"/>
      <x:c r="E2" s="713"/>
      <x:c r="F2" s="713"/>
      <x:c r="G2" s="714" t="s">
        <x:v>141</x:v>
      </x:c>
    </x:row>
    <x:row r="3" spans="1:7" ht="32" customHeight="1" x14ac:dyDescent="0.2">
      <x:c r="A3" s="715" t="s">
        <x:v>142</x:v>
      </x:c>
      <x:c r="B3" s="712"/>
      <x:c r="C3" s="712"/>
      <x:c r="D3" s="712"/>
      <x:c r="E3" s="713"/>
      <x:c r="F3" s="713"/>
      <x:c r="G3" s="716"/>
    </x:row>
    <x:row r="4" spans="1:7" ht="32" customHeight="1" x14ac:dyDescent="0.2">
      <x:c r="A4" s="723" t="s">
        <x:v>161</x:v>
      </x:c>
      <x:c r="B4" s="718">
        <x:v>15</x:v>
      </x:c>
      <x:c r="C4" s="718"/>
      <x:c r="D4" s="719"/>
      <x:c r="E4" s="720"/>
      <x:c r="F4" s="741"/>
      <x:c r="G4" s="725" t="s">
        <x:v>144</x:v>
      </x:c>
    </x:row>
    <x:row r="5" spans="1:7" ht="32" customHeight="1" x14ac:dyDescent="0.2">
      <x:c r="A5" s="723" t="s">
        <x:v>162</x:v>
      </x:c>
      <x:c r="B5" s="718"/>
      <x:c r="C5" s="718"/>
      <x:c r="D5" s="719"/>
      <x:c r="E5" s="724"/>
      <x:c r="F5" s="741"/>
      <x:c r="G5" s="725"/>
    </x:row>
    <x:row r="6" spans="1:7" ht="32" customHeight="1" x14ac:dyDescent="0.2">
      <x:c r="A6" s="723" t="s">
        <x:v>163</x:v>
      </x:c>
      <x:c r="B6" s="718"/>
      <x:c r="C6" s="718"/>
      <x:c r="D6" s="719"/>
      <x:c r="E6" s="724"/>
      <x:c r="F6" s="741"/>
      <x:c r="G6" s="725"/>
    </x:row>
    <x:row r="7" spans="1:7" ht="32" customHeight="1" x14ac:dyDescent="0.2">
      <x:c r="A7" s="723" t="s">
        <x:v>164</x:v>
      </x:c>
      <x:c r="B7" s="718"/>
      <x:c r="C7" s="718"/>
      <x:c r="D7" s="719"/>
      <x:c r="E7" s="724"/>
      <x:c r="F7" s="741"/>
      <x:c r="G7" s="725"/>
    </x:row>
    <x:row r="8" spans="1:7" x14ac:dyDescent="0.2">
      <x:c r="A8" s="723"/>
      <x:c r="B8" s="718"/>
      <x:c r="C8" s="718"/>
      <x:c r="D8" s="719"/>
      <x:c r="E8" s="724"/>
      <x:c r="F8" s="741"/>
      <x:c r="G8" s="725"/>
    </x:row>
    <x:row r="9" spans="1:7" x14ac:dyDescent="0.2">
      <x:c r="A9" s="723"/>
      <x:c r="B9" s="718"/>
      <x:c r="C9" s="718"/>
      <x:c r="D9" s="719"/>
      <x:c r="E9" s="724"/>
      <x:c r="F9" s="741"/>
      <x:c r="G9" s="725"/>
    </x:row>
    <x:row r="10" spans="1:7" x14ac:dyDescent="0.2">
      <x:c r="A10" s="723"/>
      <x:c r="B10" s="718"/>
      <x:c r="C10" s="718"/>
      <x:c r="D10" s="719"/>
      <x:c r="E10" s="724"/>
      <x:c r="F10" s="741"/>
      <x:c r="G10" s="725"/>
    </x:row>
    <x:row r="11" spans="1:7" x14ac:dyDescent="0.2">
      <x:c r="A11" s="723"/>
      <x:c r="B11" s="718"/>
      <x:c r="C11" s="718"/>
      <x:c r="D11" s="719"/>
      <x:c r="E11" s="724"/>
      <x:c r="F11" s="741"/>
      <x:c r="G11" s="725"/>
    </x:row>
    <x:row r="12" spans="1:7" x14ac:dyDescent="0.2">
      <x:c r="A12" s="723"/>
      <x:c r="B12" s="718"/>
      <x:c r="C12" s="718"/>
      <x:c r="D12" s="719"/>
      <x:c r="E12" s="724"/>
      <x:c r="F12" s="741"/>
      <x:c r="G12" s="725"/>
    </x:row>
    <x:row r="13" spans="1:7" x14ac:dyDescent="0.2">
      <x:c r="A13" s="723"/>
      <x:c r="B13" s="718"/>
      <x:c r="C13" s="718"/>
      <x:c r="D13" s="719"/>
      <x:c r="E13" s="724"/>
      <x:c r="F13" s="741"/>
      <x:c r="G13" s="725"/>
    </x:row>
    <x:row r="14" spans="1:7" x14ac:dyDescent="0.2">
      <x:c r="A14" s="723"/>
      <x:c r="B14" s="718"/>
      <x:c r="C14" s="718"/>
      <x:c r="D14" s="719"/>
      <x:c r="E14" s="724"/>
      <x:c r="F14" s="741"/>
      <x:c r="G14" s="725"/>
    </x:row>
    <x:row r="15" spans="1:7" x14ac:dyDescent="0.2">
      <x:c r="A15" s="723"/>
      <x:c r="B15" s="718"/>
      <x:c r="C15" s="718"/>
      <x:c r="D15" s="719"/>
      <x:c r="E15" s="724"/>
      <x:c r="F15" s="741"/>
      <x:c r="G15" s="725"/>
    </x:row>
    <x:row r="16" spans="1:7" x14ac:dyDescent="0.2">
      <x:c r="A16" s="723"/>
      <x:c r="B16" s="718"/>
      <x:c r="C16" s="718"/>
      <x:c r="D16" s="719"/>
      <x:c r="E16" s="724"/>
      <x:c r="F16" s="741"/>
      <x:c r="G16" s="725"/>
    </x:row>
    <x:row r="17" spans="1:7" x14ac:dyDescent="0.2">
      <x:c r="A17" s="723"/>
      <x:c r="B17" s="718"/>
      <x:c r="C17" s="718"/>
      <x:c r="D17" s="719"/>
      <x:c r="E17" s="724"/>
      <x:c r="F17" s="741"/>
      <x:c r="G17" s="725"/>
    </x:row>
    <x:row r="18" spans="1:7" x14ac:dyDescent="0.2">
      <x:c r="A18" s="723"/>
      <x:c r="B18" s="718"/>
      <x:c r="C18" s="718"/>
      <x:c r="D18" s="719"/>
      <x:c r="E18" s="724"/>
      <x:c r="F18" s="741"/>
      <x:c r="G18" s="725"/>
    </x:row>
    <x:row r="19" spans="1:7" x14ac:dyDescent="0.2">
      <x:c r="A19" s="723"/>
      <x:c r="B19" s="718"/>
      <x:c r="C19" s="718"/>
      <x:c r="D19" s="719"/>
      <x:c r="E19" s="724"/>
      <x:c r="F19" s="741"/>
      <x:c r="G19" s="725"/>
    </x:row>
    <x:row r="20" spans="1:7" x14ac:dyDescent="0.2">
      <x:c r="A20" s="723"/>
      <x:c r="B20" s="718"/>
      <x:c r="C20" s="718"/>
      <x:c r="D20" s="719"/>
      <x:c r="E20" s="724"/>
      <x:c r="F20" s="741"/>
      <x:c r="G20" s="725"/>
    </x:row>
    <x:row r="21" spans="1:7" x14ac:dyDescent="0.2">
      <x:c r="A21" s="723"/>
      <x:c r="B21" s="718"/>
      <x:c r="C21" s="718"/>
      <x:c r="D21" s="719"/>
      <x:c r="E21" s="724"/>
      <x:c r="F21" s="741"/>
      <x:c r="G21" s="725"/>
    </x:row>
    <x:row r="22" spans="1:7" x14ac:dyDescent="0.2">
      <x:c r="A22" s="723"/>
      <x:c r="B22" s="718"/>
      <x:c r="C22" s="718"/>
      <x:c r="D22" s="719"/>
      <x:c r="E22" s="724"/>
      <x:c r="F22" s="741"/>
      <x:c r="G22" s="725"/>
    </x:row>
    <x:row r="23" spans="1:7" x14ac:dyDescent="0.2">
      <x:c r="A23" s="723"/>
      <x:c r="B23" s="718"/>
      <x:c r="C23" s="718"/>
      <x:c r="D23" s="719"/>
      <x:c r="E23" s="724"/>
      <x:c r="F23" s="741"/>
      <x:c r="G23" s="725"/>
    </x:row>
    <x:row r="24" spans="1:7" x14ac:dyDescent="0.2">
      <x:c r="A24" s="723"/>
      <x:c r="B24" s="718"/>
      <x:c r="C24" s="718"/>
      <x:c r="D24" s="719"/>
      <x:c r="E24" s="724"/>
      <x:c r="F24" s="741"/>
      <x:c r="G24" s="725"/>
    </x:row>
    <x:row r="25" spans="1:7" x14ac:dyDescent="0.2">
      <x:c r="A25" s="723"/>
      <x:c r="B25" s="718"/>
      <x:c r="C25" s="718"/>
      <x:c r="D25" s="719"/>
      <x:c r="E25" s="724"/>
      <x:c r="F25" s="741"/>
      <x:c r="G25" s="725"/>
    </x:row>
    <x:row r="26" spans="1:7" x14ac:dyDescent="0.2">
      <x:c r="A26" s="723"/>
      <x:c r="B26" s="718"/>
      <x:c r="C26" s="718"/>
      <x:c r="D26" s="719"/>
      <x:c r="E26" s="724"/>
      <x:c r="F26" s="741"/>
      <x:c r="G26" s="725"/>
    </x:row>
    <x:row r="27" spans="1:7" x14ac:dyDescent="0.2">
      <x:c r="A27" s="723"/>
      <x:c r="B27" s="718"/>
      <x:c r="C27" s="718"/>
      <x:c r="D27" s="719"/>
      <x:c r="E27" s="724"/>
      <x:c r="F27" s="741"/>
      <x:c r="G27" s="725"/>
    </x:row>
    <x:row r="28" spans="1:7" x14ac:dyDescent="0.2">
      <x:c r="A28" s="723"/>
      <x:c r="B28" s="718"/>
      <x:c r="C28" s="718"/>
      <x:c r="D28" s="719"/>
      <x:c r="E28" s="724"/>
      <x:c r="F28" s="741"/>
      <x:c r="G28" s="725"/>
    </x:row>
    <x:row r="29" spans="1:7" x14ac:dyDescent="0.2">
      <x:c r="A29" s="725"/>
      <x:c r="B29" s="718"/>
      <x:c r="C29" s="718"/>
      <x:c r="D29" s="719"/>
      <x:c r="E29" s="724"/>
      <x:c r="F29" s="741"/>
      <x:c r="G29" s="725"/>
    </x:row>
    <x:row r="30" spans="1:7" x14ac:dyDescent="0.2">
      <x:c r="A30" s="723"/>
      <x:c r="B30" s="718"/>
      <x:c r="C30" s="718"/>
      <x:c r="D30" s="719"/>
      <x:c r="E30" s="724"/>
      <x:c r="F30" s="741"/>
      <x:c r="G30" s="725"/>
    </x:row>
    <x:row r="31" spans="1:7" x14ac:dyDescent="0.2">
      <x:c r="A31" s="723"/>
      <x:c r="B31" s="718"/>
      <x:c r="C31" s="718"/>
      <x:c r="D31" s="719"/>
      <x:c r="E31" s="724"/>
      <x:c r="F31" s="741"/>
      <x:c r="G31" s="725"/>
    </x:row>
    <x:row r="32" spans="1:7" x14ac:dyDescent="0.2">
      <x:c r="A32" s="723"/>
      <x:c r="B32" s="718"/>
      <x:c r="C32" s="718"/>
      <x:c r="D32" s="719"/>
      <x:c r="E32" s="724"/>
      <x:c r="F32" s="741"/>
      <x:c r="G32" s="725"/>
    </x:row>
    <x:row r="33" spans="1:7" x14ac:dyDescent="0.2">
      <x:c r="A33" s="723"/>
      <x:c r="B33" s="718"/>
      <x:c r="C33" s="718"/>
      <x:c r="D33" s="719"/>
      <x:c r="E33" s="724"/>
      <x:c r="F33" s="741"/>
      <x:c r="G33" s="725"/>
    </x:row>
    <x:row r="34" spans="1:7" x14ac:dyDescent="0.2">
      <x:c r="A34" s="723"/>
      <x:c r="B34" s="718"/>
      <x:c r="C34" s="718"/>
      <x:c r="D34" s="719"/>
      <x:c r="E34" s="724"/>
      <x:c r="F34" s="741"/>
      <x:c r="G34" s="725"/>
    </x:row>
    <x:row r="35" spans="1:7" x14ac:dyDescent="0.2">
      <x:c r="A35" s="723"/>
      <x:c r="B35" s="718"/>
      <x:c r="C35" s="718"/>
      <x:c r="D35" s="719"/>
      <x:c r="E35" s="724"/>
      <x:c r="F35" s="741"/>
      <x:c r="G35" s="725"/>
    </x:row>
    <x:row r="36" spans="1:7" x14ac:dyDescent="0.2">
      <x:c r="A36" s="723"/>
      <x:c r="B36" s="718"/>
      <x:c r="C36" s="718"/>
      <x:c r="D36" s="719"/>
      <x:c r="E36" s="724"/>
      <x:c r="F36" s="741"/>
      <x:c r="G36" s="725"/>
    </x:row>
    <x:row r="37" spans="1:7" x14ac:dyDescent="0.2">
      <x:c r="A37" s="723"/>
      <x:c r="B37" s="718"/>
      <x:c r="C37" s="718"/>
      <x:c r="D37" s="719"/>
      <x:c r="E37" s="724"/>
      <x:c r="F37" s="741"/>
      <x:c r="G37" s="725"/>
    </x:row>
    <x:row r="38" spans="1:7" x14ac:dyDescent="0.2">
      <x:c r="A38" s="723"/>
      <x:c r="B38" s="718"/>
      <x:c r="C38" s="718"/>
      <x:c r="D38" s="719"/>
      <x:c r="E38" s="724"/>
      <x:c r="F38" s="741"/>
      <x:c r="G38" s="725"/>
    </x:row>
    <x:row r="39" spans="1:7" x14ac:dyDescent="0.2">
      <x:c r="A39" s="723"/>
      <x:c r="B39" s="718"/>
      <x:c r="C39" s="718"/>
      <x:c r="D39" s="719"/>
      <x:c r="E39" s="724"/>
      <x:c r="F39" s="741"/>
      <x:c r="G39" s="725"/>
    </x:row>
    <x:row r="40" spans="1:7" x14ac:dyDescent="0.2">
      <x:c r="A40" s="723"/>
      <x:c r="B40" s="718"/>
      <x:c r="C40" s="718"/>
      <x:c r="D40" s="719"/>
      <x:c r="E40" s="724"/>
      <x:c r="F40" s="741"/>
      <x:c r="G40" s="725"/>
    </x:row>
    <x:row r="41" spans="1:7" x14ac:dyDescent="0.2">
      <x:c r="A41" s="723"/>
      <x:c r="B41" s="718"/>
      <x:c r="C41" s="718"/>
      <x:c r="D41" s="719"/>
      <x:c r="E41" s="724"/>
      <x:c r="F41" s="741"/>
      <x:c r="G41" s="725"/>
    </x:row>
    <x:row r="42" spans="1:7" x14ac:dyDescent="0.2">
      <x:c r="A42" s="723"/>
      <x:c r="B42" s="718"/>
      <x:c r="C42" s="718"/>
      <x:c r="D42" s="719"/>
      <x:c r="E42" s="724"/>
      <x:c r="F42" s="741"/>
      <x:c r="G42" s="725"/>
    </x:row>
    <x:row r="43" spans="1:7" x14ac:dyDescent="0.2">
      <x:c r="A43" s="723"/>
      <x:c r="B43" s="718"/>
      <x:c r="C43" s="718"/>
      <x:c r="D43" s="719"/>
      <x:c r="E43" s="724"/>
      <x:c r="F43" s="741"/>
      <x:c r="G43" s="725"/>
    </x:row>
    <x:row r="44" spans="1:7" x14ac:dyDescent="0.2">
      <x:c r="A44" s="723"/>
      <x:c r="B44" s="718"/>
      <x:c r="C44" s="718"/>
      <x:c r="D44" s="719"/>
      <x:c r="E44" s="724"/>
      <x:c r="F44" s="741"/>
      <x:c r="G44" s="725"/>
    </x:row>
    <x:row r="45" spans="1:7" x14ac:dyDescent="0.2">
      <x:c r="A45" s="723"/>
      <x:c r="B45" s="718"/>
      <x:c r="C45" s="718"/>
      <x:c r="D45" s="719"/>
      <x:c r="E45" s="724"/>
      <x:c r="F45" s="741"/>
      <x:c r="G45" s="725"/>
    </x:row>
    <x:row r="46" spans="1:7" x14ac:dyDescent="0.2">
      <x:c r="A46" s="723"/>
      <x:c r="B46" s="718"/>
      <x:c r="C46" s="718"/>
      <x:c r="D46" s="719"/>
      <x:c r="E46" s="724"/>
      <x:c r="F46" s="741"/>
      <x:c r="G46" s="725"/>
    </x:row>
    <x:row r="47" spans="1:7" x14ac:dyDescent="0.2">
      <x:c r="A47" s="723"/>
      <x:c r="B47" s="718"/>
      <x:c r="C47" s="718"/>
      <x:c r="D47" s="719"/>
      <x:c r="E47" s="724"/>
      <x:c r="F47" s="741"/>
      <x:c r="G47" s="725"/>
    </x:row>
    <x:row r="48" spans="1:7" x14ac:dyDescent="0.2">
      <x:c r="A48" s="723"/>
      <x:c r="B48" s="718"/>
      <x:c r="C48" s="718"/>
      <x:c r="D48" s="719"/>
      <x:c r="E48" s="724"/>
      <x:c r="F48" s="741"/>
      <x:c r="G48" s="725"/>
    </x:row>
    <x:row r="49" spans="1:7" x14ac:dyDescent="0.2">
      <x:c r="A49" s="723"/>
      <x:c r="B49" s="718"/>
      <x:c r="C49" s="718"/>
      <x:c r="D49" s="719"/>
      <x:c r="E49" s="724"/>
      <x:c r="F49" s="741"/>
      <x:c r="G49" s="725"/>
    </x:row>
    <x:row r="50" spans="1:7" x14ac:dyDescent="0.2">
      <x:c r="A50" s="723"/>
      <x:c r="B50" s="718"/>
      <x:c r="C50" s="718"/>
      <x:c r="D50" s="719"/>
      <x:c r="E50" s="724"/>
      <x:c r="F50" s="741"/>
      <x:c r="G50" s="725"/>
    </x:row>
    <x:row r="51" spans="1:7" x14ac:dyDescent="0.2">
      <x:c r="A51" s="723"/>
      <x:c r="B51" s="718"/>
      <x:c r="C51" s="718"/>
      <x:c r="D51" s="719"/>
      <x:c r="E51" s="724"/>
      <x:c r="F51" s="741"/>
      <x:c r="G51" s="725"/>
    </x:row>
    <x:row r="52" spans="1:7" x14ac:dyDescent="0.2">
      <x:c r="A52" s="723"/>
      <x:c r="B52" s="718"/>
      <x:c r="C52" s="718"/>
      <x:c r="D52" s="719"/>
      <x:c r="E52" s="724"/>
      <x:c r="F52" s="741"/>
      <x:c r="G52" s="725"/>
    </x:row>
    <x:row r="53" spans="1:7" x14ac:dyDescent="0.2">
      <x:c r="A53" s="723"/>
      <x:c r="B53" s="718"/>
      <x:c r="C53" s="718"/>
      <x:c r="D53" s="719"/>
      <x:c r="E53" s="724"/>
      <x:c r="F53" s="741"/>
      <x:c r="G53" s="725"/>
    </x:row>
    <x:row r="54" spans="1:7" x14ac:dyDescent="0.2">
      <x:c r="A54" s="723"/>
      <x:c r="B54" s="718"/>
      <x:c r="C54" s="718"/>
      <x:c r="D54" s="719"/>
      <x:c r="E54" s="724"/>
      <x:c r="F54" s="741"/>
      <x:c r="G54" s="725"/>
    </x:row>
    <x:row r="55" spans="1:7" x14ac:dyDescent="0.2">
      <x:c r="A55" s="723"/>
      <x:c r="B55" s="718"/>
      <x:c r="C55" s="718"/>
      <x:c r="D55" s="719"/>
      <x:c r="E55" s="724"/>
      <x:c r="F55" s="741"/>
      <x:c r="G55" s="725"/>
    </x:row>
    <x:row r="56" spans="1:7" x14ac:dyDescent="0.2">
      <x:c r="A56" s="723"/>
      <x:c r="B56" s="718"/>
      <x:c r="C56" s="718"/>
      <x:c r="D56" s="719"/>
      <x:c r="E56" s="724"/>
      <x:c r="F56" s="741"/>
      <x:c r="G56" s="725"/>
    </x:row>
    <x:row r="57" spans="1:7" x14ac:dyDescent="0.2">
      <x:c r="A57" s="723"/>
      <x:c r="B57" s="718"/>
      <x:c r="C57" s="718"/>
      <x:c r="D57" s="719"/>
      <x:c r="E57" s="724"/>
      <x:c r="F57" s="741"/>
      <x:c r="G57" s="725"/>
    </x:row>
    <x:row r="58" spans="1:7" x14ac:dyDescent="0.2">
      <x:c r="A58" s="723"/>
      <x:c r="B58" s="718"/>
      <x:c r="C58" s="718"/>
      <x:c r="D58" s="719"/>
      <x:c r="E58" s="724"/>
      <x:c r="F58" s="741"/>
      <x:c r="G58" s="725"/>
    </x:row>
    <x:row r="59" spans="1:7" x14ac:dyDescent="0.2">
      <x:c r="A59" s="723"/>
      <x:c r="B59" s="718"/>
      <x:c r="C59" s="718"/>
      <x:c r="D59" s="719"/>
      <x:c r="E59" s="724"/>
      <x:c r="F59" s="741"/>
      <x:c r="G59" s="725"/>
    </x:row>
    <x:row r="60" spans="1:7" x14ac:dyDescent="0.2">
      <x:c r="A60" s="723"/>
      <x:c r="B60" s="718"/>
      <x:c r="C60" s="718"/>
      <x:c r="D60" s="719"/>
      <x:c r="E60" s="724"/>
      <x:c r="F60" s="741"/>
      <x:c r="G60" s="725"/>
    </x:row>
    <x:row r="61" spans="1:7" x14ac:dyDescent="0.2">
      <x:c r="A61" s="723"/>
      <x:c r="B61" s="718"/>
      <x:c r="C61" s="718"/>
      <x:c r="D61" s="719"/>
      <x:c r="E61" s="724"/>
      <x:c r="F61" s="741"/>
      <x:c r="G61" s="725"/>
    </x:row>
    <x:row r="62" spans="1:7" x14ac:dyDescent="0.2">
      <x:c r="A62" s="723"/>
      <x:c r="B62" s="718"/>
      <x:c r="C62" s="718"/>
      <x:c r="D62" s="719"/>
      <x:c r="E62" s="724"/>
      <x:c r="F62" s="741"/>
      <x:c r="G62" s="725"/>
    </x:row>
    <x:row r="63" spans="1:7" x14ac:dyDescent="0.2">
      <x:c r="A63" s="723"/>
      <x:c r="B63" s="718"/>
      <x:c r="C63" s="718"/>
      <x:c r="D63" s="719"/>
      <x:c r="E63" s="724"/>
      <x:c r="F63" s="741"/>
      <x:c r="G63" s="725"/>
    </x:row>
    <x:row r="64" spans="1:7" x14ac:dyDescent="0.2">
      <x:c r="A64" s="723"/>
      <x:c r="B64" s="718"/>
      <x:c r="C64" s="718"/>
      <x:c r="D64" s="719"/>
      <x:c r="E64" s="724"/>
      <x:c r="F64" s="741"/>
      <x:c r="G64" s="725"/>
    </x:row>
    <x:row r="65" spans="1:7" x14ac:dyDescent="0.2">
      <x:c r="A65" s="723"/>
      <x:c r="B65" s="718"/>
      <x:c r="C65" s="718"/>
      <x:c r="D65" s="719"/>
      <x:c r="E65" s="724"/>
      <x:c r="F65" s="741"/>
      <x:c r="G65" s="725"/>
    </x:row>
    <x:row r="66" spans="1:7" x14ac:dyDescent="0.2">
      <x:c r="A66" s="723"/>
      <x:c r="B66" s="718"/>
      <x:c r="C66" s="718"/>
      <x:c r="D66" s="719"/>
      <x:c r="E66" s="724"/>
      <x:c r="F66" s="741"/>
      <x:c r="G66" s="725"/>
    </x:row>
    <x:row r="67" spans="1:7" x14ac:dyDescent="0.2">
      <x:c r="A67" s="723"/>
      <x:c r="B67" s="718"/>
      <x:c r="C67" s="718"/>
      <x:c r="D67" s="719"/>
      <x:c r="E67" s="724"/>
      <x:c r="F67" s="741"/>
      <x:c r="G67" s="725"/>
    </x:row>
    <x:row r="68" spans="1:7" x14ac:dyDescent="0.2">
      <x:c r="A68" s="723"/>
      <x:c r="B68" s="718"/>
      <x:c r="C68" s="718"/>
      <x:c r="D68" s="719"/>
      <x:c r="E68" s="724"/>
      <x:c r="F68" s="741"/>
      <x:c r="G68" s="725"/>
    </x:row>
    <x:row r="69" spans="1:7" x14ac:dyDescent="0.2">
      <x:c r="A69" s="723"/>
      <x:c r="B69" s="718"/>
      <x:c r="C69" s="718"/>
      <x:c r="D69" s="719"/>
      <x:c r="E69" s="724"/>
      <x:c r="F69" s="741"/>
      <x:c r="G69" s="725"/>
    </x:row>
    <x:row r="70" spans="1:7" x14ac:dyDescent="0.2">
      <x:c r="A70" s="723"/>
      <x:c r="B70" s="718"/>
      <x:c r="C70" s="718"/>
      <x:c r="D70" s="719"/>
      <x:c r="E70" s="724"/>
      <x:c r="F70" s="741"/>
      <x:c r="G70" s="725"/>
    </x:row>
    <x:row r="71" spans="1:7" x14ac:dyDescent="0.2">
      <x:c r="A71" s="723"/>
      <x:c r="B71" s="718"/>
      <x:c r="C71" s="718"/>
      <x:c r="D71" s="719"/>
      <x:c r="E71" s="724"/>
      <x:c r="F71" s="741"/>
      <x:c r="G71" s="725"/>
    </x:row>
    <x:row r="72" spans="1:7" x14ac:dyDescent="0.2">
      <x:c r="A72" s="723"/>
      <x:c r="B72" s="718"/>
      <x:c r="C72" s="718"/>
      <x:c r="D72" s="719"/>
      <x:c r="E72" s="724"/>
      <x:c r="F72" s="741"/>
      <x:c r="G72" s="725"/>
    </x:row>
    <x:row r="73" spans="1:7" x14ac:dyDescent="0.2">
      <x:c r="A73" s="723"/>
      <x:c r="B73" s="718"/>
      <x:c r="C73" s="718"/>
      <x:c r="D73" s="719"/>
      <x:c r="E73" s="724"/>
      <x:c r="F73" s="741"/>
      <x:c r="G73" s="725"/>
    </x:row>
    <x:row r="74" spans="1:7" x14ac:dyDescent="0.2">
      <x:c r="A74" s="723"/>
      <x:c r="B74" s="718"/>
      <x:c r="C74" s="718"/>
      <x:c r="D74" s="719"/>
      <x:c r="E74" s="724"/>
      <x:c r="F74" s="741"/>
      <x:c r="G74" s="725"/>
    </x:row>
    <x:row r="75" spans="1:7" x14ac:dyDescent="0.2">
      <x:c r="A75" s="723"/>
      <x:c r="B75" s="718"/>
      <x:c r="C75" s="718"/>
      <x:c r="D75" s="719"/>
      <x:c r="E75" s="724"/>
      <x:c r="F75" s="741"/>
      <x:c r="G75" s="725"/>
    </x:row>
    <x:row r="76" spans="1:7" x14ac:dyDescent="0.2">
      <x:c r="A76" s="723"/>
      <x:c r="B76" s="718"/>
      <x:c r="C76" s="718"/>
      <x:c r="D76" s="719"/>
      <x:c r="E76" s="724"/>
      <x:c r="F76" s="741"/>
      <x:c r="G76" s="725"/>
    </x:row>
    <x:row r="77" spans="1:7" x14ac:dyDescent="0.2">
      <x:c r="A77" s="723"/>
      <x:c r="B77" s="718"/>
      <x:c r="C77" s="718"/>
      <x:c r="D77" s="719"/>
      <x:c r="E77" s="724"/>
      <x:c r="F77" s="741"/>
      <x:c r="G77" s="725"/>
    </x:row>
    <x:row r="78" spans="1:7" x14ac:dyDescent="0.2">
      <x:c r="A78" s="723"/>
      <x:c r="B78" s="718"/>
      <x:c r="C78" s="718"/>
      <x:c r="D78" s="719"/>
      <x:c r="E78" s="724"/>
      <x:c r="F78" s="741"/>
      <x:c r="G78" s="725"/>
    </x:row>
    <x:row r="79" spans="1:7" x14ac:dyDescent="0.2">
      <x:c r="A79" s="723"/>
      <x:c r="B79" s="718"/>
      <x:c r="C79" s="718"/>
      <x:c r="D79" s="719"/>
      <x:c r="E79" s="724"/>
      <x:c r="F79" s="741"/>
      <x:c r="G79" s="725"/>
    </x:row>
    <x:row r="80" spans="1:7" x14ac:dyDescent="0.2">
      <x:c r="A80" s="723"/>
      <x:c r="B80" s="718"/>
      <x:c r="C80" s="718"/>
      <x:c r="D80" s="719"/>
      <x:c r="E80" s="724"/>
      <x:c r="F80" s="741"/>
      <x:c r="G80" s="725"/>
    </x:row>
    <x:row r="81" spans="1:7" x14ac:dyDescent="0.2">
      <x:c r="A81" s="723"/>
      <x:c r="B81" s="718"/>
      <x:c r="C81" s="718"/>
      <x:c r="D81" s="719"/>
      <x:c r="E81" s="724"/>
      <x:c r="F81" s="741"/>
      <x:c r="G81" s="725"/>
    </x:row>
    <x:row r="82" spans="1:7" x14ac:dyDescent="0.2">
      <x:c r="A82" s="723"/>
      <x:c r="B82" s="718"/>
      <x:c r="C82" s="718"/>
      <x:c r="D82" s="719"/>
      <x:c r="E82" s="724"/>
      <x:c r="F82" s="741"/>
      <x:c r="G82" s="725"/>
    </x:row>
    <x:row r="83" spans="1:7" x14ac:dyDescent="0.2">
      <x:c r="A83" s="723"/>
      <x:c r="B83" s="718"/>
      <x:c r="C83" s="718"/>
      <x:c r="D83" s="719"/>
      <x:c r="E83" s="724"/>
      <x:c r="F83" s="741"/>
      <x:c r="G83" s="725"/>
    </x:row>
    <x:row r="84" spans="1:7" x14ac:dyDescent="0.2">
      <x:c r="A84" s="723"/>
      <x:c r="B84" s="718"/>
      <x:c r="C84" s="718"/>
      <x:c r="D84" s="719"/>
      <x:c r="E84" s="724"/>
      <x:c r="F84" s="741"/>
      <x:c r="G84" s="725"/>
    </x:row>
    <x:row r="85" spans="1:7" x14ac:dyDescent="0.2">
      <x:c r="A85" s="723"/>
      <x:c r="B85" s="718"/>
      <x:c r="C85" s="718"/>
      <x:c r="D85" s="719"/>
      <x:c r="E85" s="724"/>
      <x:c r="F85" s="741"/>
      <x:c r="G85" s="725"/>
    </x:row>
    <x:row r="86" spans="1:7" x14ac:dyDescent="0.2">
      <x:c r="A86" s="723"/>
      <x:c r="B86" s="718"/>
      <x:c r="C86" s="718"/>
      <x:c r="D86" s="719"/>
      <x:c r="E86" s="724"/>
      <x:c r="F86" s="741"/>
      <x:c r="G86" s="725"/>
    </x:row>
    <x:row r="87" spans="1:7" x14ac:dyDescent="0.2">
      <x:c r="A87" s="723"/>
      <x:c r="B87" s="718"/>
      <x:c r="C87" s="718"/>
      <x:c r="D87" s="719"/>
      <x:c r="E87" s="724"/>
      <x:c r="F87" s="741"/>
      <x:c r="G87" s="725"/>
    </x:row>
    <x:row r="88" spans="1:7" x14ac:dyDescent="0.2">
      <x:c r="A88" s="723"/>
      <x:c r="B88" s="718"/>
      <x:c r="C88" s="718"/>
      <x:c r="D88" s="719"/>
      <x:c r="E88" s="724"/>
      <x:c r="F88" s="741"/>
      <x:c r="G88" s="725"/>
    </x:row>
    <x:row r="89" spans="1:7" x14ac:dyDescent="0.2">
      <x:c r="A89" s="723"/>
      <x:c r="B89" s="718"/>
      <x:c r="C89" s="718"/>
      <x:c r="D89" s="719"/>
      <x:c r="E89" s="724"/>
      <x:c r="F89" s="741"/>
      <x:c r="G89" s="725"/>
    </x:row>
    <x:row r="90" spans="1:7" x14ac:dyDescent="0.2">
      <x:c r="A90" s="723"/>
      <x:c r="B90" s="718"/>
      <x:c r="C90" s="718"/>
      <x:c r="D90" s="719"/>
      <x:c r="E90" s="724"/>
      <x:c r="F90" s="741"/>
      <x:c r="G90" s="725"/>
    </x:row>
    <x:row r="91" spans="1:7" x14ac:dyDescent="0.2">
      <x:c r="A91" s="723"/>
      <x:c r="B91" s="718"/>
      <x:c r="C91" s="718"/>
      <x:c r="D91" s="719"/>
      <x:c r="E91" s="724"/>
      <x:c r="F91" s="741"/>
      <x:c r="G91" s="725"/>
    </x:row>
    <x:row r="92" spans="1:7" x14ac:dyDescent="0.2">
      <x:c r="A92" s="723"/>
      <x:c r="B92" s="718"/>
      <x:c r="C92" s="718"/>
      <x:c r="D92" s="719"/>
      <x:c r="E92" s="724"/>
      <x:c r="F92" s="741"/>
      <x:c r="G92" s="725"/>
    </x:row>
    <x:row r="93" spans="1:7" x14ac:dyDescent="0.2">
      <x:c r="A93" s="723"/>
      <x:c r="B93" s="718"/>
      <x:c r="C93" s="718"/>
      <x:c r="D93" s="719"/>
      <x:c r="E93" s="724"/>
      <x:c r="F93" s="741"/>
      <x:c r="G93" s="725"/>
    </x:row>
    <x:row r="94" spans="1:7" x14ac:dyDescent="0.2">
      <x:c r="A94" s="723"/>
      <x:c r="B94" s="718"/>
      <x:c r="C94" s="718"/>
      <x:c r="D94" s="719"/>
      <x:c r="E94" s="724"/>
      <x:c r="F94" s="741"/>
      <x:c r="G94" s="725"/>
    </x:row>
    <x:row r="95" spans="1:7" x14ac:dyDescent="0.2">
      <x:c r="A95" s="723"/>
      <x:c r="B95" s="718"/>
      <x:c r="C95" s="718"/>
      <x:c r="D95" s="719"/>
      <x:c r="E95" s="724"/>
      <x:c r="F95" s="741"/>
      <x:c r="G95" s="725"/>
    </x:row>
    <x:row r="96" spans="1:7" x14ac:dyDescent="0.2">
      <x:c r="A96" s="723"/>
      <x:c r="B96" s="718"/>
      <x:c r="C96" s="718"/>
      <x:c r="D96" s="719"/>
      <x:c r="E96" s="724"/>
      <x:c r="F96" s="741"/>
      <x:c r="G96" s="725"/>
    </x:row>
    <x:row r="97" spans="1:7" x14ac:dyDescent="0.2">
      <x:c r="A97" s="723"/>
      <x:c r="B97" s="718"/>
      <x:c r="C97" s="718"/>
      <x:c r="D97" s="719"/>
      <x:c r="E97" s="724"/>
      <x:c r="F97" s="741"/>
      <x:c r="G97" s="725"/>
    </x:row>
    <x:row r="98" spans="1:7" x14ac:dyDescent="0.2">
      <x:c r="A98" s="723"/>
      <x:c r="B98" s="718"/>
      <x:c r="C98" s="718"/>
      <x:c r="D98" s="719"/>
      <x:c r="E98" s="724"/>
      <x:c r="F98" s="741"/>
      <x:c r="G98" s="725"/>
    </x:row>
    <x:row r="99" spans="1:7" x14ac:dyDescent="0.2">
      <x:c r="A99" s="723"/>
      <x:c r="B99" s="718"/>
      <x:c r="C99" s="718"/>
      <x:c r="D99" s="719"/>
      <x:c r="E99" s="724"/>
      <x:c r="F99" s="741"/>
      <x:c r="G99" s="725"/>
    </x:row>
    <x:row r="100" spans="1:7" x14ac:dyDescent="0.2">
      <x:c r="A100" s="716" t="s">
        <x:v>148</x:v>
      </x:c>
      <x:c r="B100" s="719">
        <x:f>SUM(B4:B99)</x:f>
        <x:v>15</x:v>
      </x:c>
      <x:c r="C100" s="719"/>
      <x:c r="D100" s="719"/>
      <x:c r="E100" s="716"/>
      <x:c r="F100" s="716"/>
      <x:c r="G100" s="723"/>
    </x:row>
    <x:row r="101" spans="1:7" ht="34" customHeight="1" x14ac:dyDescent="0.2">
      <x:c r="A101" s="731" t="s">
        <x:v>125</x:v>
      </x:c>
      <x:c r="B101" s="710" t="s">
        <x:v>119</x:v>
      </x:c>
      <x:c r="C101" s="710" t="s">
        <x:v>120</x:v>
      </x:c>
      <x:c r="D101" s="710" t="s">
        <x:v>126</x:v>
      </x:c>
      <x:c r="E101" s="709"/>
      <x:c r="F101" s="732"/>
    </x:row>
    <x:row r="102" spans="1:7" x14ac:dyDescent="0.2">
      <x:c r="A102" s="733" t="str">
        <x:f>Summary!V4</x:f>
        <x:v>BA/Dev/Arch</x:v>
      </x:c>
      <x:c r="B102" s="708"/>
      <x:c r="C102" s="708"/>
      <x:c r="D102" s="708"/>
      <x:c r="E102" s="734"/>
      <x:c r="F102" s="734"/>
    </x:row>
    <x:row r="103" spans="1:7" x14ac:dyDescent="0.2">
      <x:c r="A103" s="733" t="str">
        <x:f>Summary!V5</x:f>
        <x:v>SME</x:v>
      </x:c>
      <x:c r="B103" s="708"/>
      <x:c r="C103" s="708"/>
      <x:c r="D103" s="708"/>
      <x:c r="E103" s="734"/>
      <x:c r="F103" s="734"/>
    </x:row>
    <x:row r="104" spans="1:7" x14ac:dyDescent="0.2">
      <x:c r="A104" s="733" t="str">
        <x:f>Summary!V6</x:f>
        <x:v>Consulting Eng</x:v>
      </x:c>
      <x:c r="B104" s="708"/>
      <x:c r="C104" s="708"/>
      <x:c r="D104" s="708"/>
      <x:c r="E104" s="734"/>
      <x:c r="F104" s="734"/>
    </x:row>
    <x:row r="105" spans="1:7" x14ac:dyDescent="0.2">
      <x:c r="A105" s="733" t="str">
        <x:f>Summary!V7</x:f>
        <x:v>Associate Eng</x:v>
      </x:c>
      <x:c r="B105" s="708"/>
      <x:c r="C105" s="708"/>
      <x:c r="D105" s="708"/>
    </x:row>
    <x:row r="106" spans="1:7" x14ac:dyDescent="0.2">
      <x:c r="A106" s="735" t="s">
        <x:v>127</x:v>
      </x:c>
      <x:c r="B106" s="736"/>
      <x:c r="C106" s="736"/>
      <x:c r="D106" s="736"/>
    </x:row>
    <x:row r="108" spans="1:7" ht="34" customHeight="1" x14ac:dyDescent="0.2">
      <x:c r="A108" s="731" t="s">
        <x:v>128</x:v>
      </x:c>
      <x:c r="B108" s="710"/>
      <x:c r="C108" s="710"/>
      <x:c r="D108" s="710"/>
      <x:c r="E108" s="709" t="s">
        <x:v>93</x:v>
      </x:c>
    </x:row>
    <x:row r="109" spans="1:7" x14ac:dyDescent="0.2">
      <x:c r="A109" s="733" t="str">
        <x:f>Summary!V4</x:f>
        <x:v>BA/Dev/Arch</x:v>
      </x:c>
      <x:c r="B109" s="708"/>
      <x:c r="C109" s="708"/>
      <x:c r="D109" s="708"/>
      <x:c r="E109" s="734">
        <x:f>SUM(B109:D109)</x:f>
        <x:v>0</x:v>
      </x:c>
      <x:c r="F109" s="737"/>
    </x:row>
    <x:row r="110" spans="1:7" x14ac:dyDescent="0.2">
      <x:c r="A110" s="733" t="str">
        <x:f>Summary!V5</x:f>
        <x:v>SME</x:v>
      </x:c>
      <x:c r="B110" s="708"/>
      <x:c r="C110" s="708"/>
      <x:c r="D110" s="708"/>
      <x:c r="E110" s="734">
        <x:f>SUM(B110:D110)</x:f>
        <x:v>0</x:v>
      </x:c>
      <x:c r="F110" s="732"/>
    </x:row>
    <x:row r="111" spans="1:7" x14ac:dyDescent="0.2">
      <x:c r="A111" s="733" t="str">
        <x:f>Summary!V6</x:f>
        <x:v>Consulting Eng</x:v>
      </x:c>
      <x:c r="B111" s="708"/>
      <x:c r="C111" s="708"/>
      <x:c r="D111" s="708"/>
      <x:c r="E111" s="734">
        <x:f>SUM(B111:D111)</x:f>
        <x:v>0</x:v>
      </x:c>
      <x:c r="F111" s="734"/>
    </x:row>
    <x:row r="112" spans="1:7" x14ac:dyDescent="0.2">
      <x:c r="A112" s="733" t="str">
        <x:f>Summary!V7</x:f>
        <x:v>Associate Eng</x:v>
      </x:c>
      <x:c r="B112" s="708"/>
      <x:c r="C112" s="708"/>
      <x:c r="D112" s="708"/>
      <x:c r="E112" s="734">
        <x:f>SUM(B112:D112)</x:f>
        <x:v>0</x:v>
      </x:c>
      <x:c r="F112" s="734"/>
    </x:row>
    <x:row r="113" spans="1:7" x14ac:dyDescent="0.2">
      <x:c r="A113" s="735" t="s">
        <x:v>129</x:v>
      </x:c>
      <x:c r="B113" s="736"/>
      <x:c r="C113" s="736"/>
      <x:c r="D113" s="736"/>
      <x:c r="E113" s="738">
        <x:f>SUM(E109:E112)</x:f>
        <x:v>0</x:v>
      </x:c>
      <x:c r="F113" s="734"/>
    </x:row>
    <x:row r="114" spans="1:7" x14ac:dyDescent="0.2">
      <x:c r="F114" s="737"/>
    </x:row>
    <x:row r="115" spans="1:7" ht="34" customHeight="1" x14ac:dyDescent="0.2">
      <x:c r="A115" s="731" t="s">
        <x:v>130</x:v>
      </x:c>
      <x:c r="B115" s="710"/>
      <x:c r="C115" s="710"/>
      <x:c r="D115" s="710"/>
      <x:c r="E115" s="737"/>
    </x:row>
    <x:row r="116" spans="1:7" x14ac:dyDescent="0.2">
      <x:c r="A116" s="733" t="str">
        <x:f>Summary!V4</x:f>
        <x:v>BA/Dev/Arch</x:v>
      </x:c>
      <x:c r="B116" s="708"/>
      <x:c r="C116" s="708"/>
      <x:c r="D116" s="708"/>
      <x:c r="E116" s="737"/>
    </x:row>
    <x:row r="117" spans="1:7" x14ac:dyDescent="0.2">
      <x:c r="A117" s="733" t="str">
        <x:f>Summary!V5</x:f>
        <x:v>SME</x:v>
      </x:c>
      <x:c r="B117" s="708"/>
      <x:c r="C117" s="708"/>
      <x:c r="D117" s="708"/>
      <x:c r="E117" s="737"/>
    </x:row>
    <x:row r="118" spans="1:7" x14ac:dyDescent="0.2">
      <x:c r="A118" s="733" t="str">
        <x:f>Summary!V6</x:f>
        <x:v>Consulting Eng</x:v>
      </x:c>
      <x:c r="B118" s="708"/>
      <x:c r="C118" s="708"/>
      <x:c r="D118" s="708"/>
      <x:c r="E118" s="737"/>
    </x:row>
    <x:row r="119" spans="1:7" x14ac:dyDescent="0.2">
      <x:c r="A119" s="733" t="str">
        <x:f>Summary!V7</x:f>
        <x:v>Associate Eng</x:v>
      </x:c>
      <x:c r="B119" s="708"/>
      <x:c r="C119" s="708"/>
      <x:c r="D119" s="708"/>
      <x:c r="E119" s="737"/>
    </x:row>
    <x:row r="120" spans="1:7" x14ac:dyDescent="0.2">
      <x:c r="A120" s="735" t="s">
        <x:v>131</x:v>
      </x:c>
      <x:c r="B120" s="736">
        <x:f>SUM(B116:B119)</x:f>
        <x:v>0</x:v>
      </x:c>
      <x:c r="C120" s="736">
        <x:f>SUM(C116:C119)</x:f>
        <x:v>0</x:v>
      </x:c>
      <x:c r="D120" s="736">
        <x:f>SUM(D116:D119)</x:f>
        <x:v>0</x:v>
      </x:c>
      <x:c r="E120" s="739"/>
    </x:row>
  </x:sheetData>
  <x:sheetProtection algorithmName="SHA-512" hashValue="F+2AbCbDeV51I40CpPcCbokKRY5uFI9VVtwXtw2uzt+X3esXsumSYN19igZusb2nsGk/RV8O3wozKZJWXEHLJA==" saltValue="z6tXPoSiki53Z4vbbNm+hw==" spinCount="100000" sheet="1" formatCells="0" formatColumns="0" formatRows="0" insertHyperlinks="0" selectLockedCells="1"/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100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6">
    <x:tabColor theme="5" tint="0.3999755851924192"/>
    <x:outlinePr summaryBelow="1" summaryRight="1"/>
    <x:pageSetUpPr fitToPage="1"/>
  </x:sheetPr>
  <x:dimension ref="A1:G120"/>
  <x:sheetViews>
    <x:sheetView workbookViewId="0">
      <x:pane xSplit="0" ySplit="3" topLeftCell="A4" activePane="bottomLeft" state="frozenSplit"/>
      <x:selection activeCell="B6" sqref="B6 A6:B6"/>
      <x:selection pane="bottomLeft" activeCell="B6" sqref="B6 A6:B6"/>
    </x:sheetView>
  </x:sheetViews>
  <x:sheetFormatPr baseColWidth="10" defaultColWidth="11.155069" defaultRowHeight="16" x14ac:dyDescent="0.2"/>
  <x:cols>
    <x:col min="8" max="16384" width="11.155069" style="707" customWidth="1"/>
    <x:col min="1" max="1" width="60.710625" style="707" customWidth="1"/>
    <x:col min="2" max="4" width="12.710625" style="708" customWidth="1"/>
    <x:col min="5" max="5" width="22.710625" style="707" bestFit="1" customWidth="1"/>
    <x:col min="6" max="6" width="18.710625" style="707" customWidth="1"/>
    <x:col min="7" max="7" width="50.710625" style="707" customWidth="1"/>
  </x:cols>
  <x:sheetData>
    <x:row r="1" spans="1:7" ht="45" customHeight="1" x14ac:dyDescent="0.2">
      <x:c r="A1" s="709" t="s">
        <x:v>118</x:v>
      </x:c>
      <x:c r="B1" s="710" t="s">
        <x:v>139</x:v>
      </x:c>
      <x:c r="C1" s="710" t="s">
        <x:v>140</x:v>
      </x:c>
      <x:c r="D1" s="710" t="s">
        <x:v>121</x:v>
      </x:c>
      <x:c r="E1" s="709" t="s">
        <x:v>122</x:v>
      </x:c>
      <x:c r="F1" s="709" t="s">
        <x:v>123</x:v>
      </x:c>
      <x:c r="G1" s="709" t="s">
        <x:v>124</x:v>
      </x:c>
    </x:row>
    <x:row r="2" spans="1:7" ht="32" customHeight="1" x14ac:dyDescent="0.2">
      <x:c r="A2" s="747" t="s">
        <x:v>165</x:v>
      </x:c>
      <x:c r="B2" s="712"/>
      <x:c r="C2" s="712"/>
      <x:c r="D2" s="712"/>
      <x:c r="E2" s="713"/>
      <x:c r="F2" s="713"/>
      <x:c r="G2" s="714" t="s">
        <x:v>141</x:v>
      </x:c>
    </x:row>
    <x:row r="3" spans="1:7" ht="32" customHeight="1" x14ac:dyDescent="0.2">
      <x:c r="A3" s="715" t="s">
        <x:v>142</x:v>
      </x:c>
      <x:c r="B3" s="712"/>
      <x:c r="C3" s="712"/>
      <x:c r="D3" s="712"/>
      <x:c r="E3" s="713"/>
      <x:c r="F3" s="713"/>
      <x:c r="G3" s="716"/>
    </x:row>
    <x:row r="4" spans="1:7" ht="32" customHeight="1" x14ac:dyDescent="0.2">
      <x:c r="A4" s="723" t="s">
        <x:v>166</x:v>
      </x:c>
      <x:c r="B4" s="718">
        <x:v>16</x:v>
      </x:c>
      <x:c r="C4" s="718"/>
      <x:c r="D4" s="719"/>
      <x:c r="E4" s="720"/>
      <x:c r="F4" s="741"/>
      <x:c r="G4" s="725" t="s">
        <x:v>144</x:v>
      </x:c>
    </x:row>
    <x:row r="5" spans="1:7" ht="32" customHeight="1" x14ac:dyDescent="0.2">
      <x:c r="A5" s="723" t="s">
        <x:v>167</x:v>
      </x:c>
      <x:c r="B5" s="718"/>
      <x:c r="C5" s="718"/>
      <x:c r="D5" s="719"/>
      <x:c r="E5" s="724"/>
      <x:c r="F5" s="741"/>
      <x:c r="G5" s="725"/>
    </x:row>
    <x:row r="6" spans="1:7" ht="32" customHeight="1" x14ac:dyDescent="0.2">
      <x:c r="A6" s="723" t="s">
        <x:v>168</x:v>
      </x:c>
      <x:c r="B6" s="718"/>
      <x:c r="C6" s="718"/>
      <x:c r="D6" s="719"/>
      <x:c r="E6" s="724"/>
      <x:c r="F6" s="741"/>
      <x:c r="G6" s="725"/>
    </x:row>
    <x:row r="7" spans="1:7" ht="32" customHeight="1" x14ac:dyDescent="0.2">
      <x:c r="A7" s="723" t="s">
        <x:v>169</x:v>
      </x:c>
      <x:c r="B7" s="718"/>
      <x:c r="C7" s="718"/>
      <x:c r="D7" s="719"/>
      <x:c r="E7" s="724"/>
      <x:c r="F7" s="741"/>
      <x:c r="G7" s="725"/>
    </x:row>
    <x:row r="8" spans="1:7" x14ac:dyDescent="0.2">
      <x:c r="A8" s="723"/>
      <x:c r="B8" s="718"/>
      <x:c r="C8" s="718"/>
      <x:c r="D8" s="719"/>
      <x:c r="E8" s="724"/>
      <x:c r="F8" s="741"/>
      <x:c r="G8" s="725"/>
    </x:row>
    <x:row r="9" spans="1:7" x14ac:dyDescent="0.2">
      <x:c r="A9" s="723"/>
      <x:c r="B9" s="718"/>
      <x:c r="C9" s="718"/>
      <x:c r="D9" s="719"/>
      <x:c r="E9" s="724"/>
      <x:c r="F9" s="741"/>
      <x:c r="G9" s="725"/>
    </x:row>
    <x:row r="10" spans="1:7" x14ac:dyDescent="0.2">
      <x:c r="A10" s="723"/>
      <x:c r="B10" s="718"/>
      <x:c r="C10" s="718"/>
      <x:c r="D10" s="719"/>
      <x:c r="E10" s="724"/>
      <x:c r="F10" s="741"/>
      <x:c r="G10" s="725"/>
    </x:row>
    <x:row r="11" spans="1:7" x14ac:dyDescent="0.2">
      <x:c r="A11" s="723"/>
      <x:c r="B11" s="718"/>
      <x:c r="C11" s="718"/>
      <x:c r="D11" s="719"/>
      <x:c r="E11" s="724"/>
      <x:c r="F11" s="741"/>
      <x:c r="G11" s="725"/>
    </x:row>
    <x:row r="12" spans="1:7" x14ac:dyDescent="0.2">
      <x:c r="A12" s="723"/>
      <x:c r="B12" s="718"/>
      <x:c r="C12" s="718"/>
      <x:c r="D12" s="719"/>
      <x:c r="E12" s="724"/>
      <x:c r="F12" s="741"/>
      <x:c r="G12" s="725"/>
    </x:row>
    <x:row r="13" spans="1:7" x14ac:dyDescent="0.2">
      <x:c r="A13" s="723"/>
      <x:c r="B13" s="718"/>
      <x:c r="C13" s="718"/>
      <x:c r="D13" s="719"/>
      <x:c r="E13" s="724"/>
      <x:c r="F13" s="741"/>
      <x:c r="G13" s="725"/>
    </x:row>
    <x:row r="14" spans="1:7" x14ac:dyDescent="0.2">
      <x:c r="A14" s="723"/>
      <x:c r="B14" s="718"/>
      <x:c r="C14" s="718"/>
      <x:c r="D14" s="719"/>
      <x:c r="E14" s="724"/>
      <x:c r="F14" s="741"/>
      <x:c r="G14" s="725"/>
    </x:row>
    <x:row r="15" spans="1:7" x14ac:dyDescent="0.2">
      <x:c r="A15" s="723"/>
      <x:c r="B15" s="718"/>
      <x:c r="C15" s="718"/>
      <x:c r="D15" s="719"/>
      <x:c r="E15" s="724"/>
      <x:c r="F15" s="741"/>
      <x:c r="G15" s="725"/>
    </x:row>
    <x:row r="16" spans="1:7" x14ac:dyDescent="0.2">
      <x:c r="A16" s="723"/>
      <x:c r="B16" s="718"/>
      <x:c r="C16" s="718"/>
      <x:c r="D16" s="719"/>
      <x:c r="E16" s="724"/>
      <x:c r="F16" s="741"/>
      <x:c r="G16" s="725"/>
    </x:row>
    <x:row r="17" spans="1:7" x14ac:dyDescent="0.2">
      <x:c r="A17" s="723"/>
      <x:c r="B17" s="718"/>
      <x:c r="C17" s="718"/>
      <x:c r="D17" s="719"/>
      <x:c r="E17" s="724"/>
      <x:c r="F17" s="741"/>
      <x:c r="G17" s="725"/>
    </x:row>
    <x:row r="18" spans="1:7" x14ac:dyDescent="0.2">
      <x:c r="A18" s="723"/>
      <x:c r="B18" s="718"/>
      <x:c r="C18" s="718"/>
      <x:c r="D18" s="719"/>
      <x:c r="E18" s="724"/>
      <x:c r="F18" s="741"/>
      <x:c r="G18" s="725"/>
    </x:row>
    <x:row r="19" spans="1:7" x14ac:dyDescent="0.2">
      <x:c r="A19" s="723"/>
      <x:c r="B19" s="718"/>
      <x:c r="C19" s="718"/>
      <x:c r="D19" s="719"/>
      <x:c r="E19" s="724"/>
      <x:c r="F19" s="741"/>
      <x:c r="G19" s="725"/>
    </x:row>
    <x:row r="20" spans="1:7" x14ac:dyDescent="0.2">
      <x:c r="A20" s="723"/>
      <x:c r="B20" s="718"/>
      <x:c r="C20" s="718"/>
      <x:c r="D20" s="719"/>
      <x:c r="E20" s="724"/>
      <x:c r="F20" s="741"/>
      <x:c r="G20" s="725"/>
    </x:row>
    <x:row r="21" spans="1:7" x14ac:dyDescent="0.2">
      <x:c r="A21" s="723"/>
      <x:c r="B21" s="718"/>
      <x:c r="C21" s="718"/>
      <x:c r="D21" s="719"/>
      <x:c r="E21" s="724"/>
      <x:c r="F21" s="741"/>
      <x:c r="G21" s="725"/>
    </x:row>
    <x:row r="22" spans="1:7" x14ac:dyDescent="0.2">
      <x:c r="A22" s="723"/>
      <x:c r="B22" s="718"/>
      <x:c r="C22" s="718"/>
      <x:c r="D22" s="719"/>
      <x:c r="E22" s="724"/>
      <x:c r="F22" s="741"/>
      <x:c r="G22" s="725"/>
    </x:row>
    <x:row r="23" spans="1:7" x14ac:dyDescent="0.2">
      <x:c r="A23" s="723"/>
      <x:c r="B23" s="718"/>
      <x:c r="C23" s="718"/>
      <x:c r="D23" s="719"/>
      <x:c r="E23" s="724"/>
      <x:c r="F23" s="741"/>
      <x:c r="G23" s="725"/>
    </x:row>
    <x:row r="24" spans="1:7" x14ac:dyDescent="0.2">
      <x:c r="A24" s="723"/>
      <x:c r="B24" s="718"/>
      <x:c r="C24" s="718"/>
      <x:c r="D24" s="719"/>
      <x:c r="E24" s="724"/>
      <x:c r="F24" s="741"/>
      <x:c r="G24" s="725"/>
    </x:row>
    <x:row r="25" spans="1:7" x14ac:dyDescent="0.2">
      <x:c r="A25" s="723"/>
      <x:c r="B25" s="718"/>
      <x:c r="C25" s="718"/>
      <x:c r="D25" s="719"/>
      <x:c r="E25" s="724"/>
      <x:c r="F25" s="741"/>
      <x:c r="G25" s="725"/>
    </x:row>
    <x:row r="26" spans="1:7" x14ac:dyDescent="0.2">
      <x:c r="A26" s="723"/>
      <x:c r="B26" s="718"/>
      <x:c r="C26" s="718"/>
      <x:c r="D26" s="719"/>
      <x:c r="E26" s="724"/>
      <x:c r="F26" s="741"/>
      <x:c r="G26" s="725"/>
    </x:row>
    <x:row r="27" spans="1:7" x14ac:dyDescent="0.2">
      <x:c r="A27" s="723"/>
      <x:c r="B27" s="718"/>
      <x:c r="C27" s="718"/>
      <x:c r="D27" s="719"/>
      <x:c r="E27" s="724"/>
      <x:c r="F27" s="741"/>
      <x:c r="G27" s="725"/>
    </x:row>
    <x:row r="28" spans="1:7" x14ac:dyDescent="0.2">
      <x:c r="A28" s="723"/>
      <x:c r="B28" s="718"/>
      <x:c r="C28" s="718"/>
      <x:c r="D28" s="719"/>
      <x:c r="E28" s="724"/>
      <x:c r="F28" s="741"/>
      <x:c r="G28" s="725"/>
    </x:row>
    <x:row r="29" spans="1:7" x14ac:dyDescent="0.2">
      <x:c r="A29" s="723"/>
      <x:c r="B29" s="718"/>
      <x:c r="C29" s="718"/>
      <x:c r="D29" s="719"/>
      <x:c r="E29" s="724"/>
      <x:c r="F29" s="741"/>
      <x:c r="G29" s="725"/>
    </x:row>
    <x:row r="30" spans="1:7" x14ac:dyDescent="0.2">
      <x:c r="A30" s="723"/>
      <x:c r="B30" s="718"/>
      <x:c r="C30" s="718"/>
      <x:c r="D30" s="719"/>
      <x:c r="E30" s="724"/>
      <x:c r="F30" s="741"/>
      <x:c r="G30" s="725"/>
    </x:row>
    <x:row r="31" spans="1:7" x14ac:dyDescent="0.2">
      <x:c r="A31" s="723"/>
      <x:c r="B31" s="718"/>
      <x:c r="C31" s="718"/>
      <x:c r="D31" s="719"/>
      <x:c r="E31" s="724"/>
      <x:c r="F31" s="741"/>
      <x:c r="G31" s="725"/>
    </x:row>
    <x:row r="32" spans="1:7" x14ac:dyDescent="0.2">
      <x:c r="A32" s="723"/>
      <x:c r="B32" s="718"/>
      <x:c r="C32" s="718"/>
      <x:c r="D32" s="719"/>
      <x:c r="E32" s="724"/>
      <x:c r="F32" s="741"/>
      <x:c r="G32" s="725"/>
    </x:row>
    <x:row r="33" spans="1:7" x14ac:dyDescent="0.2">
      <x:c r="A33" s="723"/>
      <x:c r="B33" s="718"/>
      <x:c r="C33" s="718"/>
      <x:c r="D33" s="719"/>
      <x:c r="E33" s="724"/>
      <x:c r="F33" s="741"/>
      <x:c r="G33" s="725"/>
    </x:row>
    <x:row r="34" spans="1:7" x14ac:dyDescent="0.2">
      <x:c r="A34" s="723"/>
      <x:c r="B34" s="718"/>
      <x:c r="C34" s="718"/>
      <x:c r="D34" s="719"/>
      <x:c r="E34" s="724"/>
      <x:c r="F34" s="741"/>
      <x:c r="G34" s="725"/>
    </x:row>
    <x:row r="35" spans="1:7" x14ac:dyDescent="0.2">
      <x:c r="A35" s="723"/>
      <x:c r="B35" s="718"/>
      <x:c r="C35" s="718"/>
      <x:c r="D35" s="719"/>
      <x:c r="E35" s="724"/>
      <x:c r="F35" s="741"/>
      <x:c r="G35" s="725"/>
    </x:row>
    <x:row r="36" spans="1:7" x14ac:dyDescent="0.2">
      <x:c r="A36" s="723"/>
      <x:c r="B36" s="718"/>
      <x:c r="C36" s="718"/>
      <x:c r="D36" s="719"/>
      <x:c r="E36" s="724"/>
      <x:c r="F36" s="741"/>
      <x:c r="G36" s="725"/>
    </x:row>
    <x:row r="37" spans="1:7" x14ac:dyDescent="0.2">
      <x:c r="A37" s="723"/>
      <x:c r="B37" s="718"/>
      <x:c r="C37" s="718"/>
      <x:c r="D37" s="719"/>
      <x:c r="E37" s="724"/>
      <x:c r="F37" s="741"/>
      <x:c r="G37" s="725"/>
    </x:row>
    <x:row r="38" spans="1:7" x14ac:dyDescent="0.2">
      <x:c r="A38" s="723"/>
      <x:c r="B38" s="718"/>
      <x:c r="C38" s="718"/>
      <x:c r="D38" s="719"/>
      <x:c r="E38" s="724"/>
      <x:c r="F38" s="741"/>
      <x:c r="G38" s="725"/>
    </x:row>
    <x:row r="39" spans="1:7" x14ac:dyDescent="0.2">
      <x:c r="A39" s="723"/>
      <x:c r="B39" s="718"/>
      <x:c r="C39" s="718"/>
      <x:c r="D39" s="719"/>
      <x:c r="E39" s="724"/>
      <x:c r="F39" s="741"/>
      <x:c r="G39" s="725"/>
    </x:row>
    <x:row r="40" spans="1:7" x14ac:dyDescent="0.2">
      <x:c r="A40" s="723"/>
      <x:c r="B40" s="718"/>
      <x:c r="C40" s="718"/>
      <x:c r="D40" s="719"/>
      <x:c r="E40" s="724"/>
      <x:c r="F40" s="741"/>
      <x:c r="G40" s="725"/>
    </x:row>
    <x:row r="41" spans="1:7" x14ac:dyDescent="0.2">
      <x:c r="A41" s="723"/>
      <x:c r="B41" s="718"/>
      <x:c r="C41" s="718"/>
      <x:c r="D41" s="719"/>
      <x:c r="E41" s="724"/>
      <x:c r="F41" s="741"/>
      <x:c r="G41" s="725"/>
    </x:row>
    <x:row r="42" spans="1:7" x14ac:dyDescent="0.2">
      <x:c r="A42" s="723"/>
      <x:c r="B42" s="718"/>
      <x:c r="C42" s="718"/>
      <x:c r="D42" s="719"/>
      <x:c r="E42" s="724"/>
      <x:c r="F42" s="741"/>
      <x:c r="G42" s="725"/>
    </x:row>
    <x:row r="43" spans="1:7" x14ac:dyDescent="0.2">
      <x:c r="A43" s="723"/>
      <x:c r="B43" s="718"/>
      <x:c r="C43" s="718"/>
      <x:c r="D43" s="719"/>
      <x:c r="E43" s="724"/>
      <x:c r="F43" s="741"/>
      <x:c r="G43" s="725"/>
    </x:row>
    <x:row r="44" spans="1:7" x14ac:dyDescent="0.2">
      <x:c r="A44" s="723"/>
      <x:c r="B44" s="718"/>
      <x:c r="C44" s="718"/>
      <x:c r="D44" s="719"/>
      <x:c r="E44" s="724"/>
      <x:c r="F44" s="741"/>
      <x:c r="G44" s="725"/>
    </x:row>
    <x:row r="45" spans="1:7" x14ac:dyDescent="0.2">
      <x:c r="A45" s="723"/>
      <x:c r="B45" s="718"/>
      <x:c r="C45" s="718"/>
      <x:c r="D45" s="719"/>
      <x:c r="E45" s="724"/>
      <x:c r="F45" s="741"/>
      <x:c r="G45" s="725"/>
    </x:row>
    <x:row r="46" spans="1:7" x14ac:dyDescent="0.2">
      <x:c r="A46" s="723"/>
      <x:c r="B46" s="718"/>
      <x:c r="C46" s="718"/>
      <x:c r="D46" s="719"/>
      <x:c r="E46" s="724"/>
      <x:c r="F46" s="741"/>
      <x:c r="G46" s="725"/>
    </x:row>
    <x:row r="47" spans="1:7" x14ac:dyDescent="0.2">
      <x:c r="A47" s="723"/>
      <x:c r="B47" s="718"/>
      <x:c r="C47" s="718"/>
      <x:c r="D47" s="719"/>
      <x:c r="E47" s="724"/>
      <x:c r="F47" s="741"/>
      <x:c r="G47" s="725"/>
    </x:row>
    <x:row r="48" spans="1:7" x14ac:dyDescent="0.2">
      <x:c r="A48" s="723"/>
      <x:c r="B48" s="718"/>
      <x:c r="C48" s="718"/>
      <x:c r="D48" s="719"/>
      <x:c r="E48" s="724"/>
      <x:c r="F48" s="741"/>
      <x:c r="G48" s="725"/>
    </x:row>
    <x:row r="49" spans="1:7" x14ac:dyDescent="0.2">
      <x:c r="A49" s="723"/>
      <x:c r="B49" s="718"/>
      <x:c r="C49" s="718"/>
      <x:c r="D49" s="719"/>
      <x:c r="E49" s="724"/>
      <x:c r="F49" s="741"/>
      <x:c r="G49" s="725"/>
    </x:row>
    <x:row r="50" spans="1:7" x14ac:dyDescent="0.2">
      <x:c r="A50" s="723"/>
      <x:c r="B50" s="718"/>
      <x:c r="C50" s="718"/>
      <x:c r="D50" s="719"/>
      <x:c r="E50" s="724"/>
      <x:c r="F50" s="741"/>
      <x:c r="G50" s="725"/>
    </x:row>
    <x:row r="51" spans="1:7" x14ac:dyDescent="0.2">
      <x:c r="A51" s="723"/>
      <x:c r="B51" s="718"/>
      <x:c r="C51" s="718"/>
      <x:c r="D51" s="719"/>
      <x:c r="E51" s="724"/>
      <x:c r="F51" s="741"/>
      <x:c r="G51" s="725"/>
    </x:row>
    <x:row r="52" spans="1:7" x14ac:dyDescent="0.2">
      <x:c r="A52" s="723"/>
      <x:c r="B52" s="718"/>
      <x:c r="C52" s="718"/>
      <x:c r="D52" s="719"/>
      <x:c r="E52" s="724"/>
      <x:c r="F52" s="741"/>
      <x:c r="G52" s="725"/>
    </x:row>
    <x:row r="53" spans="1:7" x14ac:dyDescent="0.2">
      <x:c r="A53" s="723"/>
      <x:c r="B53" s="718"/>
      <x:c r="C53" s="718"/>
      <x:c r="D53" s="719"/>
      <x:c r="E53" s="724"/>
      <x:c r="F53" s="741"/>
      <x:c r="G53" s="725"/>
    </x:row>
    <x:row r="54" spans="1:7" x14ac:dyDescent="0.2">
      <x:c r="A54" s="723"/>
      <x:c r="B54" s="718"/>
      <x:c r="C54" s="718"/>
      <x:c r="D54" s="719"/>
      <x:c r="E54" s="724"/>
      <x:c r="F54" s="741"/>
      <x:c r="G54" s="725"/>
    </x:row>
    <x:row r="55" spans="1:7" x14ac:dyDescent="0.2">
      <x:c r="A55" s="723"/>
      <x:c r="B55" s="718"/>
      <x:c r="C55" s="718"/>
      <x:c r="D55" s="719"/>
      <x:c r="E55" s="724"/>
      <x:c r="F55" s="741"/>
      <x:c r="G55" s="725"/>
    </x:row>
    <x:row r="56" spans="1:7" x14ac:dyDescent="0.2">
      <x:c r="A56" s="723"/>
      <x:c r="B56" s="718"/>
      <x:c r="C56" s="718"/>
      <x:c r="D56" s="719"/>
      <x:c r="E56" s="724"/>
      <x:c r="F56" s="741"/>
      <x:c r="G56" s="725"/>
    </x:row>
    <x:row r="57" spans="1:7" x14ac:dyDescent="0.2">
      <x:c r="A57" s="723"/>
      <x:c r="B57" s="718"/>
      <x:c r="C57" s="718"/>
      <x:c r="D57" s="719"/>
      <x:c r="E57" s="724"/>
      <x:c r="F57" s="741"/>
      <x:c r="G57" s="725"/>
    </x:row>
    <x:row r="58" spans="1:7" x14ac:dyDescent="0.2">
      <x:c r="A58" s="723"/>
      <x:c r="B58" s="718"/>
      <x:c r="C58" s="718"/>
      <x:c r="D58" s="719"/>
      <x:c r="E58" s="724"/>
      <x:c r="F58" s="741"/>
      <x:c r="G58" s="725"/>
    </x:row>
    <x:row r="59" spans="1:7" x14ac:dyDescent="0.2">
      <x:c r="A59" s="723"/>
      <x:c r="B59" s="718"/>
      <x:c r="C59" s="718"/>
      <x:c r="D59" s="719"/>
      <x:c r="E59" s="724"/>
      <x:c r="F59" s="741"/>
      <x:c r="G59" s="725"/>
    </x:row>
    <x:row r="60" spans="1:7" x14ac:dyDescent="0.2">
      <x:c r="A60" s="723"/>
      <x:c r="B60" s="718"/>
      <x:c r="C60" s="718"/>
      <x:c r="D60" s="719"/>
      <x:c r="E60" s="724"/>
      <x:c r="F60" s="741"/>
      <x:c r="G60" s="725"/>
    </x:row>
    <x:row r="61" spans="1:7" x14ac:dyDescent="0.2">
      <x:c r="A61" s="723"/>
      <x:c r="B61" s="718"/>
      <x:c r="C61" s="718"/>
      <x:c r="D61" s="719"/>
      <x:c r="E61" s="724"/>
      <x:c r="F61" s="741"/>
      <x:c r="G61" s="725"/>
    </x:row>
    <x:row r="62" spans="1:7" x14ac:dyDescent="0.2">
      <x:c r="A62" s="723"/>
      <x:c r="B62" s="718"/>
      <x:c r="C62" s="718"/>
      <x:c r="D62" s="719"/>
      <x:c r="E62" s="724"/>
      <x:c r="F62" s="741"/>
      <x:c r="G62" s="725"/>
    </x:row>
    <x:row r="63" spans="1:7" x14ac:dyDescent="0.2">
      <x:c r="A63" s="723"/>
      <x:c r="B63" s="718"/>
      <x:c r="C63" s="718"/>
      <x:c r="D63" s="719"/>
      <x:c r="E63" s="724"/>
      <x:c r="F63" s="741"/>
      <x:c r="G63" s="725"/>
    </x:row>
    <x:row r="64" spans="1:7" x14ac:dyDescent="0.2">
      <x:c r="A64" s="723"/>
      <x:c r="B64" s="718"/>
      <x:c r="C64" s="718"/>
      <x:c r="D64" s="719"/>
      <x:c r="E64" s="724"/>
      <x:c r="F64" s="741"/>
      <x:c r="G64" s="725"/>
    </x:row>
    <x:row r="65" spans="1:7" x14ac:dyDescent="0.2">
      <x:c r="A65" s="723"/>
      <x:c r="B65" s="718"/>
      <x:c r="C65" s="718"/>
      <x:c r="D65" s="719"/>
      <x:c r="E65" s="724"/>
      <x:c r="F65" s="741"/>
      <x:c r="G65" s="725"/>
    </x:row>
    <x:row r="66" spans="1:7" x14ac:dyDescent="0.2">
      <x:c r="A66" s="723"/>
      <x:c r="B66" s="718"/>
      <x:c r="C66" s="718"/>
      <x:c r="D66" s="719"/>
      <x:c r="E66" s="724"/>
      <x:c r="F66" s="741"/>
      <x:c r="G66" s="725"/>
    </x:row>
    <x:row r="67" spans="1:7" x14ac:dyDescent="0.2">
      <x:c r="A67" s="723"/>
      <x:c r="B67" s="718"/>
      <x:c r="C67" s="718"/>
      <x:c r="D67" s="719"/>
      <x:c r="E67" s="724"/>
      <x:c r="F67" s="741"/>
      <x:c r="G67" s="725"/>
    </x:row>
    <x:row r="68" spans="1:7" x14ac:dyDescent="0.2">
      <x:c r="A68" s="723"/>
      <x:c r="B68" s="718"/>
      <x:c r="C68" s="718"/>
      <x:c r="D68" s="719"/>
      <x:c r="E68" s="724"/>
      <x:c r="F68" s="741"/>
      <x:c r="G68" s="725"/>
    </x:row>
    <x:row r="69" spans="1:7" x14ac:dyDescent="0.2">
      <x:c r="A69" s="723"/>
      <x:c r="B69" s="718"/>
      <x:c r="C69" s="718"/>
      <x:c r="D69" s="719"/>
      <x:c r="E69" s="724"/>
      <x:c r="F69" s="741"/>
      <x:c r="G69" s="725"/>
    </x:row>
    <x:row r="70" spans="1:7" x14ac:dyDescent="0.2">
      <x:c r="A70" s="723"/>
      <x:c r="B70" s="718"/>
      <x:c r="C70" s="718"/>
      <x:c r="D70" s="719"/>
      <x:c r="E70" s="724"/>
      <x:c r="F70" s="741"/>
      <x:c r="G70" s="725"/>
    </x:row>
    <x:row r="71" spans="1:7" x14ac:dyDescent="0.2">
      <x:c r="A71" s="723"/>
      <x:c r="B71" s="718"/>
      <x:c r="C71" s="718"/>
      <x:c r="D71" s="719"/>
      <x:c r="E71" s="724"/>
      <x:c r="F71" s="741"/>
      <x:c r="G71" s="725"/>
    </x:row>
    <x:row r="72" spans="1:7" x14ac:dyDescent="0.2">
      <x:c r="A72" s="723"/>
      <x:c r="B72" s="718"/>
      <x:c r="C72" s="718"/>
      <x:c r="D72" s="719"/>
      <x:c r="E72" s="724"/>
      <x:c r="F72" s="741"/>
      <x:c r="G72" s="725"/>
    </x:row>
    <x:row r="73" spans="1:7" x14ac:dyDescent="0.2">
      <x:c r="A73" s="723"/>
      <x:c r="B73" s="718"/>
      <x:c r="C73" s="718"/>
      <x:c r="D73" s="719"/>
      <x:c r="E73" s="724"/>
      <x:c r="F73" s="741"/>
      <x:c r="G73" s="725"/>
    </x:row>
    <x:row r="74" spans="1:7" x14ac:dyDescent="0.2">
      <x:c r="A74" s="723"/>
      <x:c r="B74" s="718"/>
      <x:c r="C74" s="718"/>
      <x:c r="D74" s="719"/>
      <x:c r="E74" s="724"/>
      <x:c r="F74" s="741"/>
      <x:c r="G74" s="725"/>
    </x:row>
    <x:row r="75" spans="1:7" x14ac:dyDescent="0.2">
      <x:c r="A75" s="723"/>
      <x:c r="B75" s="718"/>
      <x:c r="C75" s="718"/>
      <x:c r="D75" s="719"/>
      <x:c r="E75" s="724"/>
      <x:c r="F75" s="741"/>
      <x:c r="G75" s="725"/>
    </x:row>
    <x:row r="76" spans="1:7" x14ac:dyDescent="0.2">
      <x:c r="A76" s="723"/>
      <x:c r="B76" s="718"/>
      <x:c r="C76" s="718"/>
      <x:c r="D76" s="719"/>
      <x:c r="E76" s="724"/>
      <x:c r="F76" s="741"/>
      <x:c r="G76" s="725"/>
    </x:row>
    <x:row r="77" spans="1:7" x14ac:dyDescent="0.2">
      <x:c r="A77" s="723"/>
      <x:c r="B77" s="718"/>
      <x:c r="C77" s="718"/>
      <x:c r="D77" s="719"/>
      <x:c r="E77" s="724"/>
      <x:c r="F77" s="741"/>
      <x:c r="G77" s="725"/>
    </x:row>
    <x:row r="78" spans="1:7" x14ac:dyDescent="0.2">
      <x:c r="A78" s="723"/>
      <x:c r="B78" s="718"/>
      <x:c r="C78" s="718"/>
      <x:c r="D78" s="719"/>
      <x:c r="E78" s="724"/>
      <x:c r="F78" s="741"/>
      <x:c r="G78" s="725"/>
    </x:row>
    <x:row r="79" spans="1:7" x14ac:dyDescent="0.2">
      <x:c r="A79" s="723"/>
      <x:c r="B79" s="718"/>
      <x:c r="C79" s="718"/>
      <x:c r="D79" s="719"/>
      <x:c r="E79" s="724"/>
      <x:c r="F79" s="741"/>
      <x:c r="G79" s="725"/>
    </x:row>
    <x:row r="80" spans="1:7" x14ac:dyDescent="0.2">
      <x:c r="A80" s="723"/>
      <x:c r="B80" s="718"/>
      <x:c r="C80" s="718"/>
      <x:c r="D80" s="719"/>
      <x:c r="E80" s="724"/>
      <x:c r="F80" s="741"/>
      <x:c r="G80" s="725"/>
    </x:row>
    <x:row r="81" spans="1:7" x14ac:dyDescent="0.2">
      <x:c r="A81" s="723"/>
      <x:c r="B81" s="718"/>
      <x:c r="C81" s="718"/>
      <x:c r="D81" s="719"/>
      <x:c r="E81" s="724"/>
      <x:c r="F81" s="741"/>
      <x:c r="G81" s="725"/>
    </x:row>
    <x:row r="82" spans="1:7" x14ac:dyDescent="0.2">
      <x:c r="A82" s="723"/>
      <x:c r="B82" s="718"/>
      <x:c r="C82" s="718"/>
      <x:c r="D82" s="719"/>
      <x:c r="E82" s="724"/>
      <x:c r="F82" s="741"/>
      <x:c r="G82" s="725"/>
    </x:row>
    <x:row r="83" spans="1:7" x14ac:dyDescent="0.2">
      <x:c r="A83" s="723"/>
      <x:c r="B83" s="718"/>
      <x:c r="C83" s="718"/>
      <x:c r="D83" s="719"/>
      <x:c r="E83" s="724"/>
      <x:c r="F83" s="741"/>
      <x:c r="G83" s="725"/>
    </x:row>
    <x:row r="84" spans="1:7" x14ac:dyDescent="0.2">
      <x:c r="A84" s="723"/>
      <x:c r="B84" s="718"/>
      <x:c r="C84" s="718"/>
      <x:c r="D84" s="719"/>
      <x:c r="E84" s="724"/>
      <x:c r="F84" s="741"/>
      <x:c r="G84" s="725"/>
    </x:row>
    <x:row r="85" spans="1:7" x14ac:dyDescent="0.2">
      <x:c r="A85" s="723"/>
      <x:c r="B85" s="718"/>
      <x:c r="C85" s="718"/>
      <x:c r="D85" s="719"/>
      <x:c r="E85" s="724"/>
      <x:c r="F85" s="741"/>
      <x:c r="G85" s="725"/>
    </x:row>
    <x:row r="86" spans="1:7" x14ac:dyDescent="0.2">
      <x:c r="A86" s="723"/>
      <x:c r="B86" s="718"/>
      <x:c r="C86" s="718"/>
      <x:c r="D86" s="719"/>
      <x:c r="E86" s="724"/>
      <x:c r="F86" s="741"/>
      <x:c r="G86" s="725"/>
    </x:row>
    <x:row r="87" spans="1:7" x14ac:dyDescent="0.2">
      <x:c r="A87" s="723"/>
      <x:c r="B87" s="718"/>
      <x:c r="C87" s="718"/>
      <x:c r="D87" s="719"/>
      <x:c r="E87" s="724"/>
      <x:c r="F87" s="741"/>
      <x:c r="G87" s="725"/>
    </x:row>
    <x:row r="88" spans="1:7" x14ac:dyDescent="0.2">
      <x:c r="A88" s="723"/>
      <x:c r="B88" s="718"/>
      <x:c r="C88" s="718"/>
      <x:c r="D88" s="719"/>
      <x:c r="E88" s="724"/>
      <x:c r="F88" s="741"/>
      <x:c r="G88" s="725"/>
    </x:row>
    <x:row r="89" spans="1:7" x14ac:dyDescent="0.2">
      <x:c r="A89" s="723"/>
      <x:c r="B89" s="718"/>
      <x:c r="C89" s="718"/>
      <x:c r="D89" s="719"/>
      <x:c r="E89" s="724"/>
      <x:c r="F89" s="741"/>
      <x:c r="G89" s="725"/>
    </x:row>
    <x:row r="90" spans="1:7" x14ac:dyDescent="0.2">
      <x:c r="A90" s="723"/>
      <x:c r="B90" s="718"/>
      <x:c r="C90" s="718"/>
      <x:c r="D90" s="719"/>
      <x:c r="E90" s="724"/>
      <x:c r="F90" s="741"/>
      <x:c r="G90" s="725"/>
    </x:row>
    <x:row r="91" spans="1:7" x14ac:dyDescent="0.2">
      <x:c r="A91" s="723"/>
      <x:c r="B91" s="718"/>
      <x:c r="C91" s="718"/>
      <x:c r="D91" s="719"/>
      <x:c r="E91" s="724"/>
      <x:c r="F91" s="741"/>
      <x:c r="G91" s="725"/>
    </x:row>
    <x:row r="92" spans="1:7" x14ac:dyDescent="0.2">
      <x:c r="A92" s="723"/>
      <x:c r="B92" s="718"/>
      <x:c r="C92" s="718"/>
      <x:c r="D92" s="719"/>
      <x:c r="E92" s="724"/>
      <x:c r="F92" s="741"/>
      <x:c r="G92" s="725"/>
    </x:row>
    <x:row r="93" spans="1:7" x14ac:dyDescent="0.2">
      <x:c r="A93" s="723"/>
      <x:c r="B93" s="718"/>
      <x:c r="C93" s="718"/>
      <x:c r="D93" s="719"/>
      <x:c r="E93" s="724"/>
      <x:c r="F93" s="741"/>
      <x:c r="G93" s="725"/>
    </x:row>
    <x:row r="94" spans="1:7" x14ac:dyDescent="0.2">
      <x:c r="A94" s="723"/>
      <x:c r="B94" s="718"/>
      <x:c r="C94" s="718"/>
      <x:c r="D94" s="719"/>
      <x:c r="E94" s="724"/>
      <x:c r="F94" s="741"/>
      <x:c r="G94" s="725"/>
    </x:row>
    <x:row r="95" spans="1:7" x14ac:dyDescent="0.2">
      <x:c r="A95" s="723"/>
      <x:c r="B95" s="718"/>
      <x:c r="C95" s="718"/>
      <x:c r="D95" s="719"/>
      <x:c r="E95" s="724"/>
      <x:c r="F95" s="741"/>
      <x:c r="G95" s="725"/>
    </x:row>
    <x:row r="96" spans="1:7" x14ac:dyDescent="0.2">
      <x:c r="A96" s="723"/>
      <x:c r="B96" s="718"/>
      <x:c r="C96" s="718"/>
      <x:c r="D96" s="719"/>
      <x:c r="E96" s="724"/>
      <x:c r="F96" s="741"/>
      <x:c r="G96" s="725"/>
    </x:row>
    <x:row r="97" spans="1:7" x14ac:dyDescent="0.2">
      <x:c r="A97" s="723"/>
      <x:c r="B97" s="718"/>
      <x:c r="C97" s="718"/>
      <x:c r="D97" s="719"/>
      <x:c r="E97" s="724"/>
      <x:c r="F97" s="741"/>
      <x:c r="G97" s="725"/>
    </x:row>
    <x:row r="98" spans="1:7" x14ac:dyDescent="0.2">
      <x:c r="A98" s="723"/>
      <x:c r="B98" s="718"/>
      <x:c r="C98" s="718"/>
      <x:c r="D98" s="719"/>
      <x:c r="E98" s="724"/>
      <x:c r="F98" s="741"/>
      <x:c r="G98" s="725"/>
    </x:row>
    <x:row r="99" spans="1:7" x14ac:dyDescent="0.2">
      <x:c r="A99" s="723"/>
      <x:c r="B99" s="718"/>
      <x:c r="C99" s="718"/>
      <x:c r="D99" s="719"/>
      <x:c r="E99" s="724"/>
      <x:c r="F99" s="741"/>
      <x:c r="G99" s="725"/>
    </x:row>
    <x:row r="100" spans="1:7" x14ac:dyDescent="0.2">
      <x:c r="A100" s="716" t="s">
        <x:v>148</x:v>
      </x:c>
      <x:c r="B100" s="719">
        <x:f>SUM(B4:B99)</x:f>
        <x:v>16</x:v>
      </x:c>
      <x:c r="C100" s="719"/>
      <x:c r="D100" s="719"/>
      <x:c r="E100" s="716"/>
      <x:c r="F100" s="716"/>
      <x:c r="G100" s="723"/>
    </x:row>
    <x:row r="101" spans="1:7" ht="34" customHeight="1" x14ac:dyDescent="0.2">
      <x:c r="A101" s="731" t="s">
        <x:v>125</x:v>
      </x:c>
      <x:c r="B101" s="710" t="s">
        <x:v>119</x:v>
      </x:c>
      <x:c r="C101" s="710" t="s">
        <x:v>120</x:v>
      </x:c>
      <x:c r="D101" s="710" t="s">
        <x:v>126</x:v>
      </x:c>
      <x:c r="E101" s="709"/>
      <x:c r="F101" s="732"/>
    </x:row>
    <x:row r="102" spans="1:7" x14ac:dyDescent="0.2">
      <x:c r="A102" s="733" t="str">
        <x:f>Summary!V4</x:f>
        <x:v>BA/Dev/Arch</x:v>
      </x:c>
      <x:c r="B102" s="708"/>
      <x:c r="C102" s="708"/>
      <x:c r="D102" s="708"/>
      <x:c r="E102" s="734"/>
      <x:c r="F102" s="734"/>
    </x:row>
    <x:row r="103" spans="1:7" x14ac:dyDescent="0.2">
      <x:c r="A103" s="733" t="str">
        <x:f>Summary!V5</x:f>
        <x:v>SME</x:v>
      </x:c>
      <x:c r="B103" s="708"/>
      <x:c r="C103" s="708"/>
      <x:c r="D103" s="708"/>
      <x:c r="E103" s="734"/>
      <x:c r="F103" s="734"/>
    </x:row>
    <x:row r="104" spans="1:7" x14ac:dyDescent="0.2">
      <x:c r="A104" s="733" t="str">
        <x:f>Summary!V6</x:f>
        <x:v>Consulting Eng</x:v>
      </x:c>
      <x:c r="B104" s="708"/>
      <x:c r="C104" s="708"/>
      <x:c r="D104" s="708"/>
      <x:c r="E104" s="734"/>
      <x:c r="F104" s="734"/>
    </x:row>
    <x:row r="105" spans="1:7" x14ac:dyDescent="0.2">
      <x:c r="A105" s="733" t="str">
        <x:f>Summary!V7</x:f>
        <x:v>Associate Eng</x:v>
      </x:c>
      <x:c r="B105" s="708"/>
      <x:c r="C105" s="708"/>
      <x:c r="D105" s="708"/>
    </x:row>
    <x:row r="106" spans="1:7" x14ac:dyDescent="0.2">
      <x:c r="A106" s="735" t="s">
        <x:v>127</x:v>
      </x:c>
      <x:c r="B106" s="736"/>
      <x:c r="C106" s="736"/>
      <x:c r="D106" s="736"/>
    </x:row>
    <x:row r="108" spans="1:7" ht="34" customHeight="1" x14ac:dyDescent="0.2">
      <x:c r="A108" s="731" t="s">
        <x:v>128</x:v>
      </x:c>
      <x:c r="B108" s="710"/>
      <x:c r="C108" s="710"/>
      <x:c r="D108" s="710"/>
      <x:c r="E108" s="709" t="s">
        <x:v>93</x:v>
      </x:c>
    </x:row>
    <x:row r="109" spans="1:7" x14ac:dyDescent="0.2">
      <x:c r="A109" s="733" t="str">
        <x:f>Summary!V4</x:f>
        <x:v>BA/Dev/Arch</x:v>
      </x:c>
      <x:c r="B109" s="708"/>
      <x:c r="C109" s="708"/>
      <x:c r="D109" s="708"/>
      <x:c r="E109" s="734">
        <x:f>SUM(B109:D109)</x:f>
        <x:v>0</x:v>
      </x:c>
      <x:c r="F109" s="737"/>
    </x:row>
    <x:row r="110" spans="1:7" x14ac:dyDescent="0.2">
      <x:c r="A110" s="733" t="str">
        <x:f>Summary!V5</x:f>
        <x:v>SME</x:v>
      </x:c>
      <x:c r="B110" s="708"/>
      <x:c r="C110" s="708"/>
      <x:c r="D110" s="708"/>
      <x:c r="E110" s="734">
        <x:f>SUM(B110:D110)</x:f>
        <x:v>0</x:v>
      </x:c>
      <x:c r="F110" s="732"/>
    </x:row>
    <x:row r="111" spans="1:7" x14ac:dyDescent="0.2">
      <x:c r="A111" s="733" t="str">
        <x:f>Summary!V6</x:f>
        <x:v>Consulting Eng</x:v>
      </x:c>
      <x:c r="B111" s="708"/>
      <x:c r="C111" s="708"/>
      <x:c r="D111" s="708"/>
      <x:c r="E111" s="734">
        <x:f>SUM(B111:D111)</x:f>
        <x:v>0</x:v>
      </x:c>
      <x:c r="F111" s="734"/>
    </x:row>
    <x:row r="112" spans="1:7" x14ac:dyDescent="0.2">
      <x:c r="A112" s="733" t="str">
        <x:f>Summary!V7</x:f>
        <x:v>Associate Eng</x:v>
      </x:c>
      <x:c r="B112" s="708"/>
      <x:c r="C112" s="708"/>
      <x:c r="D112" s="708"/>
      <x:c r="E112" s="734">
        <x:f>SUM(B112:D112)</x:f>
        <x:v>0</x:v>
      </x:c>
      <x:c r="F112" s="734"/>
    </x:row>
    <x:row r="113" spans="1:7" x14ac:dyDescent="0.2">
      <x:c r="A113" s="735" t="s">
        <x:v>129</x:v>
      </x:c>
      <x:c r="B113" s="736"/>
      <x:c r="C113" s="736"/>
      <x:c r="D113" s="736"/>
      <x:c r="E113" s="738">
        <x:f>SUM(E109:E112)</x:f>
        <x:v>0</x:v>
      </x:c>
      <x:c r="F113" s="734"/>
    </x:row>
    <x:row r="114" spans="1:7" x14ac:dyDescent="0.2">
      <x:c r="F114" s="737"/>
    </x:row>
    <x:row r="115" spans="1:7" ht="34" customHeight="1" x14ac:dyDescent="0.2">
      <x:c r="A115" s="731" t="s">
        <x:v>130</x:v>
      </x:c>
      <x:c r="B115" s="710"/>
      <x:c r="C115" s="710"/>
      <x:c r="D115" s="710"/>
      <x:c r="E115" s="737"/>
    </x:row>
    <x:row r="116" spans="1:7" x14ac:dyDescent="0.2">
      <x:c r="A116" s="733" t="str">
        <x:f>Summary!V4</x:f>
        <x:v>BA/Dev/Arch</x:v>
      </x:c>
      <x:c r="B116" s="708"/>
      <x:c r="C116" s="708"/>
      <x:c r="D116" s="708"/>
      <x:c r="E116" s="737"/>
    </x:row>
    <x:row r="117" spans="1:7" x14ac:dyDescent="0.2">
      <x:c r="A117" s="733" t="str">
        <x:f>Summary!V5</x:f>
        <x:v>SME</x:v>
      </x:c>
      <x:c r="B117" s="708"/>
      <x:c r="C117" s="708"/>
      <x:c r="D117" s="708"/>
      <x:c r="E117" s="737"/>
    </x:row>
    <x:row r="118" spans="1:7" x14ac:dyDescent="0.2">
      <x:c r="A118" s="733" t="str">
        <x:f>Summary!V6</x:f>
        <x:v>Consulting Eng</x:v>
      </x:c>
      <x:c r="B118" s="708"/>
      <x:c r="C118" s="708"/>
      <x:c r="D118" s="708"/>
      <x:c r="E118" s="737"/>
    </x:row>
    <x:row r="119" spans="1:7" x14ac:dyDescent="0.2">
      <x:c r="A119" s="733" t="str">
        <x:f>Summary!V7</x:f>
        <x:v>Associate Eng</x:v>
      </x:c>
      <x:c r="B119" s="708"/>
      <x:c r="C119" s="708"/>
      <x:c r="D119" s="708"/>
      <x:c r="E119" s="737"/>
    </x:row>
    <x:row r="120" spans="1:7" x14ac:dyDescent="0.2">
      <x:c r="A120" s="735" t="s">
        <x:v>131</x:v>
      </x:c>
      <x:c r="B120" s="736">
        <x:f>SUM(B116:B119)</x:f>
        <x:v>0</x:v>
      </x:c>
      <x:c r="C120" s="736">
        <x:f>SUM(C116:C119)</x:f>
        <x:v>0</x:v>
      </x:c>
      <x:c r="D120" s="736">
        <x:f>SUM(D116:D119)</x:f>
        <x:v>0</x:v>
      </x:c>
      <x:c r="E120" s="739"/>
    </x:row>
  </x:sheetData>
  <x:sheetProtection algorithmName="SHA-512" hashValue="L8iY4rD8Ypo6Au5v9BFrwwXusWYXzrhAKJBYil5Tcp0h9uRVs+jJta+WEf4UoJ0e7RmFD3098foQiTDclS9zVw==" saltValue="3YRKuvsLHNOVsVVrN1dZLg==" spinCount="100000" sheet="1" formatCells="0" formatColumns="0" formatRows="0" insertHyperlinks="0" selectLockedCells="1"/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100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7">
    <x:outlinePr summaryBelow="1" summaryRight="1"/>
    <x:pageSetUpPr fitToPage="1"/>
  </x:sheetPr>
  <x:dimension ref="A1:A37"/>
  <x:sheetViews>
    <x:sheetView workbookViewId="0">
      <x:selection activeCell="A2" sqref="A2"/>
    </x:sheetView>
  </x:sheetViews>
  <x:sheetFormatPr baseColWidth="10" defaultColWidth="8.932847" defaultRowHeight="16" x14ac:dyDescent="0.2"/>
  <x:cols>
    <x:col min="3" max="16384" width="8.932847" style="449" customWidth="1"/>
    <x:col min="1" max="1" width="35.710625" style="449" customWidth="1"/>
    <x:col min="2" max="2" width="100.710625" style="748" bestFit="1" customWidth="1"/>
  </x:cols>
  <x:sheetData>
    <x:row r="1" spans="1:2" x14ac:dyDescent="0.2">
      <x:c r="A1" s="481" t="s">
        <x:v>107</x:v>
      </x:c>
    </x:row>
    <x:row r="3" spans="1:2" ht="60" customHeight="1">
      <x:c r="A3" s="449" t="s">
        <x:v>172</x:v>
      </x:c>
      <x:c r="B3" s="748" t="s">
        <x:v>173</x:v>
      </x:c>
    </x:row>
    <x:row r="4" spans="1:2" ht="30" customHeight="1">
      <x:c r="A4" s="449" t="s">
        <x:v>174</x:v>
      </x:c>
      <x:c r="B4" s="748" t="s">
        <x:v>175</x:v>
      </x:c>
    </x:row>
    <x:row r="5" spans="1:2" ht="30" customHeight="1">
      <x:c r="A5" s="449" t="s">
        <x:v>176</x:v>
      </x:c>
      <x:c r="B5" s="748" t="s">
        <x:v>144</x:v>
      </x:c>
    </x:row>
    <x:row r="6" spans="1:2" ht="30" customHeight="1" x14ac:dyDescent="0.2">
      <x:c r="A6" s="749" t="s">
        <x:v>177</x:v>
      </x:c>
      <x:c r="B6" s="748" t="s">
        <x:v>147</x:v>
      </x:c>
    </x:row>
    <x:row r="7" spans="1:2" ht="30" customHeight="1" x14ac:dyDescent="0.2">
      <x:c r="A7" s="749" t="s">
        <x:v>178</x:v>
      </x:c>
      <x:c r="B7" s="748" t="s">
        <x:v>179</x:v>
      </x:c>
    </x:row>
    <x:row r="8" spans="1:2" ht="30" customHeight="1" x14ac:dyDescent="0.2">
      <x:c r="A8" s="749" t="s">
        <x:v>180</x:v>
      </x:c>
      <x:c r="B8" s="748" t="s">
        <x:v>181</x:v>
      </x:c>
    </x:row>
    <x:row r="9" spans="1:2" ht="30" customHeight="1" x14ac:dyDescent="0.2">
      <x:c r="A9" s="749" t="s">
        <x:v>182</x:v>
      </x:c>
      <x:c r="B9" s="748" t="s">
        <x:v>183</x:v>
      </x:c>
    </x:row>
    <x:row r="10" spans="1:2" ht="30" customHeight="1" x14ac:dyDescent="0.2">
      <x:c r="A10" s="750" t="s">
        <x:v>184</x:v>
      </x:c>
      <x:c r="B10" s="748" t="s">
        <x:v>185</x:v>
      </x:c>
    </x:row>
    <x:row r="11" spans="1:2" ht="30" customHeight="1" x14ac:dyDescent="0.2">
      <x:c r="A11" s="749" t="s">
        <x:v>186</x:v>
      </x:c>
      <x:c r="B11" s="748" t="s">
        <x:v>187</x:v>
      </x:c>
    </x:row>
    <x:row r="12" spans="1:2" ht="30" customHeight="1" x14ac:dyDescent="0.2">
      <x:c r="A12" s="749" t="s">
        <x:v>188</x:v>
      </x:c>
      <x:c r="B12" s="748" t="s">
        <x:v>144</x:v>
      </x:c>
    </x:row>
    <x:row r="13" spans="1:2" ht="30" customHeight="1" x14ac:dyDescent="0.2">
      <x:c r="A13" s="749" t="s">
        <x:v>189</x:v>
      </x:c>
      <x:c r="B13" s="748" t="s">
        <x:v>154</x:v>
      </x:c>
    </x:row>
    <x:row r="14" spans="1:2" ht="30" customHeight="1" x14ac:dyDescent="0.2">
      <x:c r="A14" s="749" t="s">
        <x:v>190</x:v>
      </x:c>
      <x:c r="B14" s="748" t="s">
        <x:v>191</x:v>
      </x:c>
    </x:row>
    <x:row r="15" spans="1:2" ht="30" customHeight="1" x14ac:dyDescent="0.2">
      <x:c r="A15" s="750" t="s">
        <x:v>192</x:v>
      </x:c>
      <x:c r="B15" s="748" t="s">
        <x:v>193</x:v>
      </x:c>
    </x:row>
    <x:row r="16" spans="1:2" ht="30" customHeight="1" x14ac:dyDescent="0.2">
      <x:c r="A16" s="749" t="s">
        <x:v>194</x:v>
      </x:c>
      <x:c r="B16" s="748" t="s">
        <x:v>195</x:v>
      </x:c>
    </x:row>
    <x:row r="17" spans="1:2" ht="30" customHeight="1" x14ac:dyDescent="0.2">
      <x:c r="A17" s="749" t="s">
        <x:v>196</x:v>
      </x:c>
      <x:c r="B17" s="748" t="s">
        <x:v>197</x:v>
      </x:c>
    </x:row>
    <x:row r="18" spans="1:2" ht="30" customHeight="1" x14ac:dyDescent="0.2">
      <x:c r="A18" s="749" t="s">
        <x:v>198</x:v>
      </x:c>
      <x:c r="B18" s="748" t="s">
        <x:v>199</x:v>
      </x:c>
    </x:row>
    <x:row r="19" spans="1:2" ht="30" customHeight="1" x14ac:dyDescent="0.2">
      <x:c r="A19" s="750" t="s">
        <x:v>200</x:v>
      </x:c>
      <x:c r="B19" s="748" t="s">
        <x:v>144</x:v>
      </x:c>
    </x:row>
    <x:row r="20" spans="1:2" ht="30" customHeight="1" x14ac:dyDescent="0.2">
      <x:c r="A20" s="749" t="s">
        <x:v>201</x:v>
      </x:c>
      <x:c r="B20" s="748" t="s">
        <x:v>159</x:v>
      </x:c>
    </x:row>
    <x:row r="21" spans="1:2" ht="30" customHeight="1" x14ac:dyDescent="0.2">
      <x:c r="A21" s="749" t="s">
        <x:v>202</x:v>
      </x:c>
      <x:c r="B21" s="748" t="s">
        <x:v>203</x:v>
      </x:c>
    </x:row>
    <x:row r="22" spans="1:2" ht="30" customHeight="1" x14ac:dyDescent="0.2">
      <x:c r="A22" s="749" t="s">
        <x:v>204</x:v>
      </x:c>
      <x:c r="B22" s="748" t="s">
        <x:v>205</x:v>
      </x:c>
    </x:row>
    <x:row r="23" spans="1:2" ht="30" customHeight="1" x14ac:dyDescent="0.2">
      <x:c r="A23" s="750" t="s">
        <x:v>206</x:v>
      </x:c>
      <x:c r="B23" s="748" t="s">
        <x:v>207</x:v>
      </x:c>
    </x:row>
    <x:row r="24" spans="1:2" ht="30" customHeight="1" x14ac:dyDescent="0.2">
      <x:c r="A24" s="749" t="s">
        <x:v>208</x:v>
      </x:c>
      <x:c r="B24" s="748" t="s">
        <x:v>209</x:v>
      </x:c>
    </x:row>
    <x:row r="25" spans="1:2" ht="30" customHeight="1" x14ac:dyDescent="0.2">
      <x:c r="A25" s="749" t="s">
        <x:v>210</x:v>
      </x:c>
      <x:c r="B25" s="748" t="s">
        <x:v>211</x:v>
      </x:c>
    </x:row>
    <x:row r="26" spans="1:2" ht="30" customHeight="1" x14ac:dyDescent="0.2">
      <x:c r="A26" s="749" t="s">
        <x:v>212</x:v>
      </x:c>
      <x:c r="B26" s="748" t="s">
        <x:v>144</x:v>
      </x:c>
    </x:row>
    <x:row r="27" spans="1:2" ht="30" customHeight="1" x14ac:dyDescent="0.2">
      <x:c r="A27" s="749" t="s">
        <x:v>213</x:v>
      </x:c>
      <x:c r="B27" s="748" t="s">
        <x:v>164</x:v>
      </x:c>
    </x:row>
    <x:row r="28" spans="1:2" ht="30" customHeight="1" x14ac:dyDescent="0.2">
      <x:c r="A28" s="750" t="s">
        <x:v>214</x:v>
      </x:c>
      <x:c r="B28" s="748" t="s">
        <x:v>215</x:v>
      </x:c>
    </x:row>
    <x:row r="29" spans="1:2" ht="30" customHeight="1" x14ac:dyDescent="0.2">
      <x:c r="A29" s="749" t="s">
        <x:v>216</x:v>
      </x:c>
      <x:c r="B29" s="748" t="s">
        <x:v>217</x:v>
      </x:c>
    </x:row>
    <x:row r="30" spans="1:2" ht="30" customHeight="1" x14ac:dyDescent="0.2">
      <x:c r="A30" s="749" t="s">
        <x:v>218</x:v>
      </x:c>
      <x:c r="B30" s="748" t="s">
        <x:v>219</x:v>
      </x:c>
    </x:row>
    <x:row r="31" spans="1:2" ht="30" customHeight="1" x14ac:dyDescent="0.2">
      <x:c r="A31" s="750" t="s">
        <x:v>220</x:v>
      </x:c>
      <x:c r="B31" s="748" t="s">
        <x:v>221</x:v>
      </x:c>
    </x:row>
    <x:row r="32" spans="1:2" ht="30" customHeight="1" x14ac:dyDescent="0.2">
      <x:c r="A32" s="749" t="s">
        <x:v>222</x:v>
      </x:c>
      <x:c r="B32" s="748" t="s">
        <x:v>223</x:v>
      </x:c>
    </x:row>
    <x:row r="33" spans="1:2" ht="30" customHeight="1" x14ac:dyDescent="0.2">
      <x:c r="A33" s="749" t="s">
        <x:v>224</x:v>
      </x:c>
      <x:c r="B33" s="748" t="s">
        <x:v>144</x:v>
      </x:c>
    </x:row>
    <x:row r="34" spans="1:2" ht="30" customHeight="1" x14ac:dyDescent="0.2">
      <x:c r="A34" s="750" t="s">
        <x:v>225</x:v>
      </x:c>
      <x:c r="B34" s="748" t="s">
        <x:v>169</x:v>
      </x:c>
    </x:row>
    <x:row r="35" spans="1:2" ht="30" customHeight="1" x14ac:dyDescent="0.2">
      <x:c r="A35" s="749" t="s">
        <x:v>226</x:v>
      </x:c>
      <x:c r="B35" s="748" t="s">
        <x:v>227</x:v>
      </x:c>
    </x:row>
    <x:row r="36" spans="1:2" ht="30" customHeight="1" x14ac:dyDescent="0.2">
      <x:c r="A36" s="749" t="s">
        <x:v>228</x:v>
      </x:c>
      <x:c r="B36" s="748" t="s">
        <x:v>229</x:v>
      </x:c>
    </x:row>
    <x:row r="37" spans="1:2" ht="30" customHeight="1" x14ac:dyDescent="0.2">
      <x:c r="A37" s="749" t="s">
        <x:v>230</x:v>
      </x:c>
      <x:c r="B37" s="748" t="s">
        <x:v>231</x:v>
      </x:c>
    </x:row>
    <x:row r="38" spans="1:2" ht="30" customHeight="1">
      <x:c r="A38" s="449" t="s">
        <x:v>232</x:v>
      </x:c>
      <x:c r="B38" s="748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Sheet8">
    <x:outlinePr summaryBelow="1" summaryRight="1"/>
    <x:pageSetUpPr fitToPage="1"/>
  </x:sheetPr>
  <x:dimension ref="A1:A35"/>
  <x:sheetViews>
    <x:sheetView workbookViewId="0">
      <x:selection activeCell="A4" sqref="A4"/>
    </x:sheetView>
  </x:sheetViews>
  <x:sheetFormatPr baseColWidth="10" defaultColWidth="8.932847" defaultRowHeight="16" x14ac:dyDescent="0.2"/>
  <x:cols>
    <x:col min="3" max="16384" width="8.932847" style="449" customWidth="1"/>
    <x:col min="1" max="1" width="35.710625" style="449" customWidth="1"/>
    <x:col min="2" max="2" width="100.710625" style="748" customWidth="1"/>
  </x:cols>
  <x:sheetData>
    <x:row r="1" spans="1:2" x14ac:dyDescent="0.2">
      <x:c r="A1" s="751" t="s">
        <x:v>234</x:v>
      </x:c>
      <x:c r="B1" s="748"/>
    </x:row>
    <x:row r="3" spans="1:2" ht="30" customHeight="1">
      <x:c r="A3" s="449" t="s">
        <x:v>235</x:v>
      </x:c>
      <x:c r="B3" s="748" t="s">
        <x:v>236</x:v>
      </x:c>
    </x:row>
    <x:row r="4" spans="1:2" ht="30" customHeight="1" x14ac:dyDescent="0.2">
      <x:c r="A4" s="752" t="s">
        <x:v>237</x:v>
      </x:c>
      <x:c r="B4" s="748" t="s">
        <x:v>238</x:v>
      </x:c>
    </x:row>
    <x:row r="5" spans="1:2" ht="30" customHeight="1" x14ac:dyDescent="0.2">
      <x:c r="A5" s="752" t="s">
        <x:v>239</x:v>
      </x:c>
      <x:c r="B5" s="748" t="s">
        <x:v>240</x:v>
      </x:c>
    </x:row>
    <x:row r="6" spans="1:2" ht="30" customHeight="1" x14ac:dyDescent="0.2">
      <x:c r="A6" s="752" t="s">
        <x:v>241</x:v>
      </x:c>
      <x:c r="B6" s="748" t="s">
        <x:v>242</x:v>
      </x:c>
    </x:row>
    <x:row r="7" spans="1:2" ht="30" customHeight="1" x14ac:dyDescent="0.2">
      <x:c r="A7" s="752" t="s">
        <x:v>243</x:v>
      </x:c>
      <x:c r="B7" s="748" t="s">
        <x:v>244</x:v>
      </x:c>
    </x:row>
    <x:row r="8" spans="1:2" x14ac:dyDescent="0.2">
      <x:c r="A8" s="752"/>
      <x:c r="B8" s="748"/>
    </x:row>
    <x:row r="9" spans="1:2" x14ac:dyDescent="0.2">
      <x:c r="A9" s="752"/>
      <x:c r="B9" s="748"/>
    </x:row>
    <x:row r="10" spans="1:2" x14ac:dyDescent="0.2">
      <x:c r="A10" s="753"/>
      <x:c r="B10" s="748"/>
    </x:row>
    <x:row r="11" spans="1:2" x14ac:dyDescent="0.2">
      <x:c r="A11" s="752"/>
      <x:c r="B11" s="748"/>
    </x:row>
    <x:row r="12" spans="1:2" x14ac:dyDescent="0.2">
      <x:c r="A12" s="754"/>
      <x:c r="B12" s="748"/>
    </x:row>
    <x:row r="13" spans="1:2" x14ac:dyDescent="0.2">
      <x:c r="A13" s="754"/>
      <x:c r="B13" s="748"/>
    </x:row>
    <x:row r="14" spans="1:2" x14ac:dyDescent="0.2">
      <x:c r="A14" s="754"/>
      <x:c r="B14" s="748"/>
    </x:row>
    <x:row r="15" spans="1:2" x14ac:dyDescent="0.2">
      <x:c r="A15" s="754"/>
      <x:c r="B15" s="748"/>
    </x:row>
    <x:row r="16" spans="1:2" x14ac:dyDescent="0.2">
      <x:c r="A16" s="754"/>
      <x:c r="B16" s="748"/>
    </x:row>
    <x:row r="17" spans="1:2" x14ac:dyDescent="0.2">
      <x:c r="A17" s="752"/>
      <x:c r="B17" s="748"/>
    </x:row>
    <x:row r="18" spans="1:2" x14ac:dyDescent="0.2">
      <x:c r="A18" s="752"/>
      <x:c r="B18" s="748"/>
    </x:row>
    <x:row r="19" spans="1:2" x14ac:dyDescent="0.2">
      <x:c r="A19" s="752"/>
      <x:c r="B19" s="748"/>
    </x:row>
    <x:row r="20" spans="1:2" x14ac:dyDescent="0.2">
      <x:c r="A20" s="753"/>
      <x:c r="B20" s="748"/>
    </x:row>
    <x:row r="21" spans="1:2" x14ac:dyDescent="0.2">
      <x:c r="A21" s="752"/>
      <x:c r="B21" s="748"/>
    </x:row>
    <x:row r="22" spans="1:2" x14ac:dyDescent="0.2">
      <x:c r="A22" s="754"/>
      <x:c r="B22" s="748"/>
    </x:row>
    <x:row r="23" spans="1:2" x14ac:dyDescent="0.2">
      <x:c r="A23" s="754"/>
      <x:c r="B23" s="748"/>
    </x:row>
    <x:row r="24" spans="1:2" x14ac:dyDescent="0.2">
      <x:c r="A24" s="754"/>
      <x:c r="B24" s="748"/>
    </x:row>
    <x:row r="25" spans="1:2" x14ac:dyDescent="0.2">
      <x:c r="A25" s="754"/>
      <x:c r="B25" s="748"/>
    </x:row>
    <x:row r="26" spans="1:2" x14ac:dyDescent="0.2">
      <x:c r="A26" s="754"/>
      <x:c r="B26" s="748"/>
    </x:row>
    <x:row r="27" spans="1:2" x14ac:dyDescent="0.2">
      <x:c r="A27" s="754"/>
      <x:c r="B27" s="748"/>
    </x:row>
    <x:row r="28" spans="1:2" x14ac:dyDescent="0.2">
      <x:c r="A28" s="752"/>
      <x:c r="B28" s="748"/>
    </x:row>
    <x:row r="29" spans="1:2" x14ac:dyDescent="0.2">
      <x:c r="A29" s="752"/>
      <x:c r="B29" s="748"/>
    </x:row>
    <x:row r="30" spans="1:2" x14ac:dyDescent="0.2">
      <x:c r="A30" s="752"/>
      <x:c r="B30" s="748"/>
    </x:row>
    <x:row r="31" spans="1:2" x14ac:dyDescent="0.2">
      <x:c r="A31" s="752"/>
      <x:c r="B31" s="748"/>
    </x:row>
    <x:row r="32" spans="1:2" x14ac:dyDescent="0.2">
      <x:c r="A32" s="753"/>
      <x:c r="B32" s="748"/>
    </x:row>
    <x:row r="33" spans="1:2" x14ac:dyDescent="0.2">
      <x:c r="A33" s="752"/>
      <x:c r="B33" s="748"/>
    </x:row>
    <x:row r="34" spans="1:2" x14ac:dyDescent="0.2">
      <x:c r="A34" s="752"/>
      <x:c r="B34" s="748"/>
    </x:row>
    <x:row r="35" spans="1:2" x14ac:dyDescent="0.2">
      <x:c r="A35" s="752"/>
      <x:c r="B35" s="748"/>
    </x:row>
  </x:sheetData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Sheet20">
    <x:outlinePr summaryBelow="1" summaryRight="1"/>
    <x:pageSetUpPr fitToPage="1"/>
  </x:sheetPr>
  <x:dimension ref="A2"/>
  <x:sheetViews>
    <x:sheetView workbookViewId="0">
      <x:selection activeCell="A5" sqref="A5"/>
    </x:sheetView>
  </x:sheetViews>
  <x:sheetFormatPr baseColWidth="10" defaultColWidth="11.155069" defaultRowHeight="16" x14ac:dyDescent="0.2"/>
  <x:cols>
    <x:col min="3" max="16384" width="11.155069" style="449" customWidth="1"/>
    <x:col min="1" max="1" width="35.710625" style="449" bestFit="1" customWidth="1"/>
    <x:col min="2" max="2" width="100.710625" style="748" customWidth="1"/>
  </x:cols>
  <x:sheetData>
    <x:row r="1" spans="1:2">
      <x:c r="A1" s="481" t="s">
        <x:v>245</x:v>
      </x:c>
      <x:c r="B1" s="748"/>
    </x:row>
    <x:row r="3" spans="1:2" ht="30" customHeight="1">
      <x:c r="A3" s="449" t="s">
        <x:v>246</x:v>
      </x:c>
      <x:c r="B3" s="748" t="s">
        <x:v>247</x:v>
      </x:c>
    </x:row>
    <x:row r="4" spans="1:2" ht="30" customHeight="1">
      <x:c r="A4" s="449" t="s">
        <x:v>248</x:v>
      </x:c>
      <x:c r="B4" s="748" t="s">
        <x:v>249</x:v>
      </x:c>
    </x:row>
    <x:row r="5" spans="1:2" ht="30" customHeight="1">
      <x:c r="A5" s="449" t="s">
        <x:v>250</x:v>
      </x:c>
      <x:c r="B5" s="748" t="s">
        <x:v>251</x:v>
      </x:c>
    </x:row>
    <x:row r="6" spans="1:2" ht="30" customHeight="1">
      <x:c r="A6" s="449" t="s">
        <x:v>252</x:v>
      </x:c>
      <x:c r="B6" s="748" t="s">
        <x:v>253</x:v>
      </x:c>
    </x:row>
    <x:row r="7" spans="1:2" ht="30" customHeight="1">
      <x:c r="A7" s="449" t="s">
        <x:v>254</x:v>
      </x:c>
      <x:c r="B7" s="748" t="s">
        <x:v>255</x:v>
      </x:c>
    </x:row>
    <x:row r="8" spans="1:2" ht="30" customHeight="1">
      <x:c r="A8" s="449" t="s">
        <x:v>256</x:v>
      </x:c>
      <x:c r="B8" s="748" t="s">
        <x:v>249</x:v>
      </x:c>
    </x:row>
    <x:row r="9" spans="1:2" ht="30" customHeight="1">
      <x:c r="A9" s="449" t="s">
        <x:v>257</x:v>
      </x:c>
      <x:c r="B9" s="748" t="s">
        <x:v>258</x:v>
      </x:c>
    </x:row>
    <x:row r="10" spans="1:2" ht="30" customHeight="1">
      <x:c r="A10" s="449" t="s">
        <x:v>259</x:v>
      </x:c>
      <x:c r="B10" s="748" t="s">
        <x:v>260</x:v>
      </x:c>
    </x:row>
    <x:row r="11" spans="1:2" ht="30" customHeight="1">
      <x:c r="A11" s="449" t="s">
        <x:v>261</x:v>
      </x:c>
      <x:c r="B11" s="748" t="s">
        <x:v>262</x:v>
      </x:c>
    </x:row>
    <x:row r="12" spans="1:2" ht="30" customHeight="1">
      <x:c r="A12" s="449" t="s">
        <x:v>263</x:v>
      </x:c>
      <x:c r="B12" s="748" t="s">
        <x:v>249</x:v>
      </x:c>
    </x:row>
    <x:row r="13" spans="1:2" ht="30" customHeight="1">
      <x:c r="A13" s="449" t="s">
        <x:v>264</x:v>
      </x:c>
      <x:c r="B13" s="748" t="s">
        <x:v>265</x:v>
      </x:c>
    </x:row>
    <x:row r="14" spans="1:2" ht="30" customHeight="1">
      <x:c r="A14" s="449" t="s">
        <x:v>266</x:v>
      </x:c>
      <x:c r="B14" s="748" t="s">
        <x:v>267</x:v>
      </x:c>
    </x:row>
    <x:row r="15" spans="1:2" ht="30" customHeight="1">
      <x:c r="A15" s="449" t="s">
        <x:v>268</x:v>
      </x:c>
      <x:c r="B15" s="748" t="s">
        <x:v>269</x:v>
      </x:c>
    </x:row>
    <x:row r="16" spans="1:2" ht="30" customHeight="1">
      <x:c r="A16" s="449" t="s">
        <x:v>270</x:v>
      </x:c>
      <x:c r="B16" s="748" t="s">
        <x:v>249</x:v>
      </x:c>
    </x:row>
    <x:row r="17" spans="1:2" ht="30" customHeight="1">
      <x:c r="A17" s="449" t="s">
        <x:v>271</x:v>
      </x:c>
      <x:c r="B17" s="748" t="s">
        <x:v>272</x:v>
      </x:c>
    </x:row>
    <x:row r="18" spans="1:2" ht="30" customHeight="1">
      <x:c r="A18" s="449" t="s">
        <x:v>273</x:v>
      </x:c>
      <x:c r="B18" s="748" t="s">
        <x:v>274</x:v>
      </x:c>
    </x:row>
    <x:row r="19" spans="1:2" ht="30" customHeight="1">
      <x:c r="A19" s="449" t="s">
        <x:v>275</x:v>
      </x:c>
      <x:c r="B19" s="748" t="s">
        <x:v>276</x:v>
      </x:c>
    </x:row>
    <x:row r="20" spans="1:2" ht="30" customHeight="1">
      <x:c r="A20" s="449" t="s">
        <x:v>277</x:v>
      </x:c>
      <x:c r="B20" s="748" t="s">
        <x:v>249</x:v>
      </x:c>
    </x:row>
    <x:row r="21" spans="1:2" ht="30" customHeight="1">
      <x:c r="A21" s="449" t="s">
        <x:v>278</x:v>
      </x:c>
      <x:c r="B21" s="748" t="s">
        <x:v>279</x:v>
      </x:c>
    </x:row>
    <x:row r="22" spans="1:2" ht="30" customHeight="1">
      <x:c r="A22" s="449" t="s">
        <x:v>280</x:v>
      </x:c>
      <x:c r="B22" s="748" t="s">
        <x:v>281</x:v>
      </x:c>
    </x:row>
  </x:sheetData>
  <x:printOptions horizontalCentered="0" verticalCentered="0" headings="0" gridLines="0"/>
  <x:pageMargins left="0.7" right="0.7" top="0.75" bottom="0.75" header="0.3" footer="0.3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Company>US Signal</ap:Company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ap:HeadingPairs>
  <ap:TitlesOfParts>
    <vt:vector baseType="lpstr" size="49">
      <vt:lpstr>Summary</vt:lpstr>
      <vt:lpstr>Phase Breakdown</vt:lpstr>
      <vt:lpstr>Totals Sheet</vt:lpstr>
      <vt:lpstr>SELL SKUs</vt:lpstr>
      <vt:lpstr>Plan</vt:lpstr>
      <vt:lpstr>Design</vt:lpstr>
      <vt:lpstr>Implement</vt:lpstr>
      <vt:lpstr>Validate</vt:lpstr>
      <vt:lpstr>Release</vt:lpstr>
      <vt:lpstr>Architect Notes</vt:lpstr>
      <vt:lpstr>Gotcha Items</vt:lpstr>
      <vt:lpstr>Assumptions Responsibilities</vt:lpstr>
      <vt:lpstr>Summary!Print_Area</vt:lpstr>
      <vt:lpstr>Summary!Print_Titles</vt:lpstr>
      <vt:lpstr>Phase Breakdown!Print_Area</vt:lpstr>
      <vt:lpstr>Phase Breakdown!Print_Titles</vt:lpstr>
      <vt:lpstr>Totals Sheet!Print_Area</vt:lpstr>
      <vt:lpstr>Totals Sheet!Print_Titles</vt:lpstr>
      <vt:lpstr>SELL SKUs!Print_Area</vt:lpstr>
      <vt:lpstr>SELL SKUs!Print_Titles</vt:lpstr>
      <vt:lpstr>Plan!Print_Area</vt:lpstr>
      <vt:lpstr>Plan!Print_Titles</vt:lpstr>
      <vt:lpstr>Design!Print_Area</vt:lpstr>
      <vt:lpstr>Design!Print_Titles</vt:lpstr>
      <vt:lpstr>Implement!Print_Area</vt:lpstr>
      <vt:lpstr>Implement!Print_Titles</vt:lpstr>
      <vt:lpstr>Validate!Print_Area</vt:lpstr>
      <vt:lpstr>Validate!Print_Titles</vt:lpstr>
      <vt:lpstr>Release!Print_Area</vt:lpstr>
      <vt:lpstr>Release!Print_Titles</vt:lpstr>
      <vt:lpstr>Architect Notes!Print_Area</vt:lpstr>
      <vt:lpstr>Architect Notes!Print_Titles</vt:lpstr>
      <vt:lpstr>Gotcha Items!_Toc363478069</vt:lpstr>
      <vt:lpstr>Gotcha Items!_Toc363478070</vt:lpstr>
      <vt:lpstr>Gotcha Items!_Toc363478071</vt:lpstr>
      <vt:lpstr>Gotcha Items!Print_Area</vt:lpstr>
      <vt:lpstr>Gotcha Items!Print_Titles</vt:lpstr>
      <vt:lpstr>Assumptions Responsibilities!Print_Area</vt:lpstr>
      <vt:lpstr>Assumptions Responsibilities!Print_Titles</vt:lpstr>
      <vt:lpstr>Milestone1</vt:lpstr>
      <vt:lpstr>Milestone10</vt:lpstr>
      <vt:lpstr>Milestone2</vt:lpstr>
      <vt:lpstr>Milestone3</vt:lpstr>
      <vt:lpstr>Milestone4</vt:lpstr>
      <vt:lpstr>Milestone5</vt:lpstr>
      <vt:lpstr>Milestone6</vt:lpstr>
      <vt:lpstr>Milestone7</vt:lpstr>
      <vt:lpstr>Milestone8</vt:lpstr>
      <vt:lpstr>Milestone9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Sample Engagement Customer - Sample Platform Modernization - GSD</dc:title>
  <dc:creator>US Signal</dc:creator>
  <dc:description/>
  <lastModifiedBy>US Signal</lastModifiedBy>
  <dcterms:created xsi:type="dcterms:W3CDTF">1980-01-01T00:00:00Z</dcterms:created>
  <dcterms:modified xsi:type="dcterms:W3CDTF">1980-01-01T00:00:00Z</dcterms:modified>
  <keywords/>
  <dc:subject>Module 025 standard export template</dc:subject>
</coreProperties>
</file>