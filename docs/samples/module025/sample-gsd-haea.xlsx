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
<Relationships xmlns="http://schemas.openxmlformats.org/package/2006/relationships">
  <Relationship Type="http://schemas.openxmlformats.org/officeDocument/2006/relationships/officeDocument" Target="/xl/workbook.xml" Id="rId1" />
  <Relationship Type="http://schemas.openxmlformats.org/officeDocument/2006/relationships/extended-properties" Target="/docProps/app.xml" Id="rId2" />
  <Relationship Type="http://schemas.openxmlformats.org/package/2006/relationships/metadata/core-properties" Target="/package/services/metadata/core-properties/core.psmdcp" Id="rId3" />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HAEA GSD" sheetId="1" r:id="rId2"/>
    <x:sheet name="P-D-I-V-R Detail" sheetId="2" r:id="rId3"/>
    <x:sheet name="Task Estimates" sheetId="3" r:id="rId4"/>
    <x:sheet name="Scope &amp; Assumptions" sheetId="4" r:id="rId5"/>
  </x:sheets>
  <x:definedNames>
    <x:definedName name="_xlnm.Print_Titles" localSheetId="2">'Task Estimates'!1:1</x:definedName>
  </x:definedNames>
  <x:calcPr calcId="125725"/>
</x:workbook>
</file>

<file path=xl/calcChain.xml><?xml version="1.0" encoding="utf-8"?>
<x:calcChain xmlns:x="http://schemas.openxmlformats.org/spreadsheetml/2006/main">
  <x:c r="D15" i="1"/>
  <x:c r="D16" i="1"/>
  <x:c r="D17" i="1"/>
  <x:c r="D18" i="1"/>
  <x:c r="D19" i="1"/>
  <x:c r="B20" i="1"/>
  <x:c r="C20" i="1"/>
  <x:c r="D20" i="1"/>
  <x:c r="C7" i="3"/>
  <x:c r="D7" i="3"/>
  <x:c r="E7" i="3"/>
</x:calcChain>
</file>

<file path=xl/sharedStrings.xml><?xml version="1.0" encoding="utf-8"?>
<x:sst xmlns:x="http://schemas.openxmlformats.org/spreadsheetml/2006/main">
  <x:si>
    <x:t>HAEA Staff Aug GSD KUS UVO Telematics 1</x:t>
  </x:si>
  <x:si>
    <x:t>Generated from Module 025 SOW &amp; GSD Workspace</x:t>
  </x:si>
  <x:si>
    <x:t>SOW/GSD ID</x:t>
  </x:si>
  <x:si>
    <x:t>SOW-SAMPLE-0001</x:t>
  </x:si>
  <x:si>
    <x:t>Project Name</x:t>
  </x:si>
  <x:si>
    <x:t>Sample Platform Modernization</x:t>
  </x:si>
  <x:si>
    <x:t>Customer</x:t>
  </x:si>
  <x:si>
    <x:t>Sample Engagement Customer</x:t>
  </x:si>
  <x:si>
    <x:t>Commercial Model</x:t>
  </x:si>
  <x:si>
    <x:t>Fixed Price</x:t>
  </x:si>
  <x:si>
    <x:t>Solution Architect</x:t>
  </x:si>
  <x:si>
    <x:t>Sample Solution Architect</x:t>
  </x:si>
  <x:si>
    <x:t>Account Executive</x:t>
  </x:si>
  <x:si>
    <x:t>Sample Account Executive</x:t>
  </x:si>
  <x:si>
    <x:t>Inside Sales Representative</x:t>
  </x:si>
  <x:si>
    <x:t>Sample Inside Sales</x:t>
  </x:si>
  <x:si>
    <x:t>GSD Template Profile</x:t>
  </x:si>
  <x:si>
    <x:t>Customer Program</x:t>
  </x:si>
  <x:si>
    <x:t>Standard</x:t>
  </x:si>
  <x:si>
    <x:t>Phase</x:t>
  </x:si>
  <x:si>
    <x:t>AI Suggested Hours</x:t>
  </x:si>
  <x:si>
    <x:t>SA Final Hours</x:t>
  </x:si>
  <x:si>
    <x:t>Variance</x:t>
  </x:si>
  <x:si>
    <x:t>Level-of-Effort Rationale</x:t>
  </x:si>
  <x:si>
    <x:t>Plan</x:t>
  </x:si>
  <x:si>
    <x:t>Reviewed phase estimate; task allocation pending.</x:t>
  </x:si>
  <x:si>
    <x:t>Design</x:t>
  </x:si>
  <x:si>
    <x:t>Implement</x:t>
  </x:si>
  <x:si>
    <x:t>Validate</x:t>
  </x:si>
  <x:si>
    <x:t>Release</x:t>
  </x:si>
  <x:si>
    <x:t>Total</x:t>
  </x:si>
  <x:si>
    <x:t>Detailed Plan / Design / Implement / Validate / Release Scope</x:t>
  </x:si>
  <x:si>
    <x:t>Category</x:t>
  </x:si>
  <x:si>
    <x:t>Detailed Requirement / Activity</x:t>
  </x:si>
  <x:si>
    <x:t>Reviewed Hours</x:t>
  </x:si>
  <x:si>
    <x:t>Objective</x:t>
  </x:si>
  <x:si>
    <x:t>Deliver the reviewed plan scope for the sample engagement.</x:t>
  </x:si>
  <x:si>
    <x:t>Detailed Activities</x:t>
  </x:si>
  <x:si>
    <x:t>Review the agreed plan requirements</x:t>
  </x:si>
  <x:si>
    <x:t>Complete the approved plan activities</x:t>
  </x:si>
  <x:si>
    <x:t>Technical Tasks / Configuration</x:t>
  </x:si>
  <x:si>
    <x:t>Record the plan configuration decisions</x:t>
  </x:si>
  <x:si>
    <x:t>Deliverables</x:t>
  </x:si>
  <x:si>
    <x:t>Reviewed plan delivery record</x:t>
  </x:si>
  <x:si>
    <x:t>US Signal Responsibilities</x:t>
  </x:si>
  <x:si>
    <x:t>Provide access and confirm the plan outcomes</x:t>
  </x:si>
  <x:si>
    <x:t>Customer Responsibilities</x:t>
  </x:si>
  <x:si>
    <x:t>Provide the agreed plan services and review the results</x:t>
  </x:si>
  <x:si>
    <x:t>Prerequisites</x:t>
  </x:si>
  <x:si>
    <x:t>Confirm the plan prerequisites are in place</x:t>
  </x:si>
  <x:si>
    <x:t>Dependencies</x:t>
  </x:si>
  <x:si>
    <x:t>Depends on completion of the prior-phase deliverables</x:t>
  </x:si>
  <x:si>
    <x:t>Assumptions</x:t>
  </x:si>
  <x:si>
    <x:t>Assumes the reviewed plan scope is unchanged</x:t>
  </x:si>
  <x:si>
    <x:t>Acceptance Criteria</x:t>
  </x:si>
  <x:si>
    <x:t>Customer reviews the documented plan results</x:t>
  </x:si>
  <x:si>
    <x:t>Validation Steps</x:t>
  </x:si>
  <x:si>
    <x:t>Validate the plan outcome against the acceptance criteria</x:t>
  </x:si>
  <x:si>
    <x:t>Risks / Considerations</x:t>
  </x:si>
  <x:si>
    <x:t>Schedule risk if the plan prerequisites are delayed</x:t>
  </x:si>
  <x:si>
    <x:t>Deliver the reviewed design scope for the sample engagement.</x:t>
  </x:si>
  <x:si>
    <x:t>Review the agreed design requirements</x:t>
  </x:si>
  <x:si>
    <x:t>Complete the approved design activities</x:t>
  </x:si>
  <x:si>
    <x:t>Record the design configuration decisions</x:t>
  </x:si>
  <x:si>
    <x:t>Reviewed design delivery record</x:t>
  </x:si>
  <x:si>
    <x:t>Provide access and confirm the design outcomes</x:t>
  </x:si>
  <x:si>
    <x:t>Provide the agreed design services and review the results</x:t>
  </x:si>
  <x:si>
    <x:t>Confirm the design prerequisites are in place</x:t>
  </x:si>
  <x:si>
    <x:t>Assumes the reviewed design scope is unchanged</x:t>
  </x:si>
  <x:si>
    <x:t>Customer reviews the documented design results</x:t>
  </x:si>
  <x:si>
    <x:t>Validate the design outcome against the acceptance criteria</x:t>
  </x:si>
  <x:si>
    <x:t>Schedule risk if the design prerequisites are delayed</x:t>
  </x:si>
  <x:si>
    <x:t>Deliver the reviewed implement scope for the sample engagement.</x:t>
  </x:si>
  <x:si>
    <x:t>Review the agreed implement requirements</x:t>
  </x:si>
  <x:si>
    <x:t>Complete the approved implement activities</x:t>
  </x:si>
  <x:si>
    <x:t>Record the implement configuration decisions</x:t>
  </x:si>
  <x:si>
    <x:t>Reviewed implement delivery record</x:t>
  </x:si>
  <x:si>
    <x:t>Provide access and confirm the implement outcomes</x:t>
  </x:si>
  <x:si>
    <x:t>Provide the agreed implement services and review the results</x:t>
  </x:si>
  <x:si>
    <x:t>Confirm the implement prerequisites are in place</x:t>
  </x:si>
  <x:si>
    <x:t>Assumes the reviewed implement scope is unchanged</x:t>
  </x:si>
  <x:si>
    <x:t>Customer reviews the documented implement results</x:t>
  </x:si>
  <x:si>
    <x:t>Validate the implement outcome against the acceptance criteria</x:t>
  </x:si>
  <x:si>
    <x:t>Schedule risk if the implement prerequisites are delayed</x:t>
  </x:si>
  <x:si>
    <x:t>Deliver the reviewed validate scope for the sample engagement.</x:t>
  </x:si>
  <x:si>
    <x:t>Review the agreed validate requirements</x:t>
  </x:si>
  <x:si>
    <x:t>Complete the approved validate activities</x:t>
  </x:si>
  <x:si>
    <x:t>Record the validate configuration decisions</x:t>
  </x:si>
  <x:si>
    <x:t>Reviewed validate delivery record</x:t>
  </x:si>
  <x:si>
    <x:t>Provide access and confirm the validate outcomes</x:t>
  </x:si>
  <x:si>
    <x:t>Provide the agreed validate services and review the results</x:t>
  </x:si>
  <x:si>
    <x:t>Confirm the validate prerequisites are in place</x:t>
  </x:si>
  <x:si>
    <x:t>Assumes the reviewed validate scope is unchanged</x:t>
  </x:si>
  <x:si>
    <x:t>Customer reviews the documented validate results</x:t>
  </x:si>
  <x:si>
    <x:t>Validate the validate outcome against the acceptance criteria</x:t>
  </x:si>
  <x:si>
    <x:t>Schedule risk if the validate prerequisites are delayed</x:t>
  </x:si>
  <x:si>
    <x:t>Deliver the reviewed release scope for the sample engagement.</x:t>
  </x:si>
  <x:si>
    <x:t>Review the agreed release requirements</x:t>
  </x:si>
  <x:si>
    <x:t>Complete the approved release activities</x:t>
  </x:si>
  <x:si>
    <x:t>Record the release configuration decisions</x:t>
  </x:si>
  <x:si>
    <x:t>Reviewed release delivery record</x:t>
  </x:si>
  <x:si>
    <x:t>Provide access and confirm the release outcomes</x:t>
  </x:si>
  <x:si>
    <x:t>Provide the agreed release services and review the results</x:t>
  </x:si>
  <x:si>
    <x:t>Confirm the release prerequisites are in place</x:t>
  </x:si>
  <x:si>
    <x:t>Assumes the reviewed release scope is unchanged</x:t>
  </x:si>
  <x:si>
    <x:t>Customer reviews the documented release results</x:t>
  </x:si>
  <x:si>
    <x:t>Validate the release outcome against the acceptance criteria</x:t>
  </x:si>
  <x:si>
    <x:t>Schedule risk if the release prerequisites are delayed</x:t>
  </x:si>
  <x:si>
    <x:t>Detailed Task</x:t>
  </x:si>
  <x:si>
    <x:t>Total Hours</x:t>
  </x:si>
  <x:si>
    <x:t>Regular Hours</x:t>
  </x:si>
  <x:si>
    <x:t>After-hours Hours</x:t>
  </x:si>
  <x:si>
    <x:t>Review Status</x:t>
  </x:si>
  <x:si>
    <x:t>After-hours</x:t>
  </x:si>
  <x:si>
    <x:t>Estimate Basis / Notes</x:t>
  </x:si>
  <x:si>
    <x:t>Legacy phase-only estimate; task allocation requires review.</x:t>
  </x:si>
  <x:si>
    <x:t>Task allocation pending</x:t>
  </x:si>
  <x:si>
    <x:t>Allocated hours (regular + after-hours; no premium assumed)</x:t>
  </x:si>
  <x:si>
    <x:t>Service Overview</x:t>
  </x:si>
  <x:si>
    <x:t>Deliver the agreed project scope using the five delivery phases.</x:t>
  </x:si>
  <x:si>
    <x:t>Reviewed plan delivery record
Reviewed design delivery record
Reviewed implement delivery record
Reviewed validate delivery record
Reviewed release delivery record</x:t>
  </x:si>
  <x:si>
    <x:t>Exclusions</x:t>
  </x:si>
  <x:si>
    <x:t/>
  </x:si>
  <x:si>
    <x:t>Provide the agreed plan services and review the results
Provide the agreed design services and review the results
Provide the agreed implement services and review the results
Provide the agreed validate services and review the results
Provide the agreed release services and review the results</x:t>
  </x:si>
  <x:si>
    <x:t>Assumes the reviewed plan scope is unchanged
Assumes the reviewed design scope is unchanged
Assumes the reviewed implement scope is unchanged
Assumes the reviewed validate scope is unchanged
Assumes the reviewed release scope is unchanged</x:t>
  </x:si>
</x:sst>
</file>

<file path=xl/styles.xml><?xml version="1.0" encoding="utf-8"?>
<x:styleSheet xmlns:x="http://schemas.openxmlformats.org/spreadsheetml/2006/main">
  <x:numFmts count="2">
    <x:numFmt numFmtId="0" formatCode=""/>
    <x:numFmt numFmtId="164" formatCode="0.##"/>
  </x:numFmts>
  <x:fonts count="3">
    <x:font>
      <x:vertAlign val="baseline"/>
      <x:sz val="11"/>
      <x:color rgb="FF000000"/>
      <x:name val="Calibri"/>
      <x:family val="2"/>
    </x:font>
    <x:font>
      <x:b/>
      <x:vertAlign val="baseline"/>
      <x:sz val="11"/>
      <x:color rgb="FF000000"/>
      <x:name val="Calibri"/>
      <x:family val="2"/>
    </x:font>
    <x:font>
      <x:b/>
      <x:vertAlign val="baseline"/>
      <x:sz val="16"/>
      <x:color rgb="FF00000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164" fontId="0" fillId="0" borderId="0" applyNumberFormat="1" applyFill="1" applyBorder="0" applyAlignment="1" applyProtection="1">
      <x:protection locked="1" hidden="0"/>
    </x:xf>
    <x:xf numFmtId="164" fontId="1" fillId="0" borderId="0" applyNumberFormat="1" applyFill="1"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4" fontId="1" fillId="0" borderId="0" xfId="0" applyNumberFormat="1" applyFill="1" applyBorder="0"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calcChain" Target="/xl/calcChain.xml" Id="rId8"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0"/>
  <x:sheetViews>
    <x:sheetView workbookViewId="0"/>
  </x:sheetViews>
  <x:sheetFormatPr defaultRowHeight="15"/>
  <x:cols>
    <x:col min="6" max="16384" width="9.140625" style="1" customWidth="1"/>
    <x:col min="1" max="1" width="22.710625" style="1" customWidth="1"/>
    <x:col min="2" max="2" width="20.710625" style="1" customWidth="1"/>
    <x:col min="3" max="3" width="18.710625" style="1" customWidth="1"/>
    <x:col min="4" max="4" width="14.710625" style="1" customWidth="1"/>
    <x:col min="5" max="5" width="70.710625" style="2" customWidth="1"/>
  </x:cols>
  <x:sheetData>
    <x:row r="1" spans="1:5" ht="15" customHeight="1">
      <x:c r="A1" s="4" t="s">
        <x:v>0</x:v>
      </x:c>
      <x:c r="B1" s="3"/>
      <x:c r="C1" s="3"/>
      <x:c r="D1" s="3"/>
      <x:c r="E1" s="5"/>
    </x:row>
    <x:row r="2" spans="1:5" ht="15" customHeight="1">
      <x:c r="A2" s="3" t="s">
        <x:v>1</x:v>
      </x:c>
      <x:c r="B2" s="3"/>
      <x:c r="C2" s="3"/>
      <x:c r="D2" s="3"/>
      <x:c r="E2" s="5"/>
    </x:row>
    <x:row r="4" spans="1:5" ht="13.5" customHeight="1">
      <x:c r="A4" s="1" t="s">
        <x:v>2</x:v>
      </x:c>
      <x:c r="B4" s="1" t="s">
        <x:v>3</x:v>
      </x:c>
      <x:c r="E4" s="2"/>
    </x:row>
    <x:row r="5" spans="1:5" ht="13.5" customHeight="1">
      <x:c r="A5" s="1" t="s">
        <x:v>4</x:v>
      </x:c>
      <x:c r="B5" s="1" t="s">
        <x:v>5</x:v>
      </x:c>
      <x:c r="E5" s="2"/>
    </x:row>
    <x:row r="6" spans="1:5" ht="13.5" customHeight="1">
      <x:c r="A6" s="1" t="s">
        <x:v>6</x:v>
      </x:c>
      <x:c r="B6" s="1" t="s">
        <x:v>7</x:v>
      </x:c>
      <x:c r="E6" s="2"/>
    </x:row>
    <x:row r="7" spans="1:5" ht="13.5" customHeight="1">
      <x:c r="A7" s="1" t="s">
        <x:v>8</x:v>
      </x:c>
      <x:c r="B7" s="1" t="s">
        <x:v>9</x:v>
      </x:c>
      <x:c r="E7" s="2"/>
    </x:row>
    <x:row r="8" spans="1:5" ht="13.5" customHeight="1">
      <x:c r="A8" s="1" t="s">
        <x:v>10</x:v>
      </x:c>
      <x:c r="B8" s="1" t="s">
        <x:v>11</x:v>
      </x:c>
      <x:c r="E8" s="2"/>
    </x:row>
    <x:row r="9" spans="1:5" ht="13.5" customHeight="1">
      <x:c r="A9" s="1" t="s">
        <x:v>12</x:v>
      </x:c>
      <x:c r="B9" s="1" t="s">
        <x:v>13</x:v>
      </x:c>
      <x:c r="E9" s="2"/>
    </x:row>
    <x:row r="10" spans="1:5" ht="13.5" customHeight="1">
      <x:c r="A10" s="1" t="s">
        <x:v>14</x:v>
      </x:c>
      <x:c r="B10" s="1" t="s">
        <x:v>15</x:v>
      </x:c>
      <x:c r="E10" s="2"/>
    </x:row>
    <x:row r="11" spans="1:5" ht="13.5" customHeight="1">
      <x:c r="A11" s="1" t="s">
        <x:v>16</x:v>
      </x:c>
      <x:c r="B11" s="1" t="s">
        <x:v>0</x:v>
      </x:c>
      <x:c r="E11" s="2"/>
    </x:row>
    <x:row r="12" spans="1:5" ht="13.5" customHeight="1">
      <x:c r="A12" s="1" t="s">
        <x:v>17</x:v>
      </x:c>
      <x:c r="B12" s="1" t="s">
        <x:v>18</x:v>
      </x:c>
      <x:c r="E12" s="2"/>
    </x:row>
    <x:row r="14" spans="1:5" ht="13.5" customHeight="1" s="3" customFormat="1">
      <x:c r="A14" s="6" t="s">
        <x:v>19</x:v>
      </x:c>
      <x:c r="B14" s="6" t="s">
        <x:v>20</x:v>
      </x:c>
      <x:c r="C14" s="6" t="s">
        <x:v>21</x:v>
      </x:c>
      <x:c r="D14" s="6" t="s">
        <x:v>22</x:v>
      </x:c>
      <x:c r="E14" s="7" t="s">
        <x:v>23</x:v>
      </x:c>
    </x:row>
    <x:row r="15" spans="1:5" ht="13.5" customHeight="1">
      <x:c r="A15" s="8" t="s">
        <x:v>24</x:v>
      </x:c>
      <x:c r="B15" s="8">
        <x:v>8</x:v>
      </x:c>
      <x:c r="C15" s="8">
        <x:v>12</x:v>
      </x:c>
      <x:c r="D15" s="8">
        <x:f>C15-B15</x:f>
      </x:c>
      <x:c r="E15" s="9" t="s">
        <x:v>25</x:v>
      </x:c>
    </x:row>
    <x:row r="16" spans="1:5" ht="13.5" customHeight="1">
      <x:c r="A16" s="8" t="s">
        <x:v>26</x:v>
      </x:c>
      <x:c r="B16" s="8">
        <x:v>8</x:v>
      </x:c>
      <x:c r="C16" s="8">
        <x:v>13</x:v>
      </x:c>
      <x:c r="D16" s="8">
        <x:f>C16-B16</x:f>
      </x:c>
      <x:c r="E16" s="9" t="s">
        <x:v>25</x:v>
      </x:c>
    </x:row>
    <x:row r="17" spans="1:5" ht="13.5" customHeight="1">
      <x:c r="A17" s="8" t="s">
        <x:v>27</x:v>
      </x:c>
      <x:c r="B17" s="8">
        <x:v>8</x:v>
      </x:c>
      <x:c r="C17" s="8">
        <x:v>14</x:v>
      </x:c>
      <x:c r="D17" s="8">
        <x:f>C17-B17</x:f>
      </x:c>
      <x:c r="E17" s="9" t="s">
        <x:v>25</x:v>
      </x:c>
    </x:row>
    <x:row r="18" spans="1:5" ht="13.5" customHeight="1">
      <x:c r="A18" s="8" t="s">
        <x:v>28</x:v>
      </x:c>
      <x:c r="B18" s="8">
        <x:v>8</x:v>
      </x:c>
      <x:c r="C18" s="8">
        <x:v>15</x:v>
      </x:c>
      <x:c r="D18" s="8">
        <x:f>C18-B18</x:f>
      </x:c>
      <x:c r="E18" s="9" t="s">
        <x:v>25</x:v>
      </x:c>
    </x:row>
    <x:row r="19" spans="1:5" ht="13.5" customHeight="1">
      <x:c r="A19" s="8" t="s">
        <x:v>29</x:v>
      </x:c>
      <x:c r="B19" s="8">
        <x:v>8</x:v>
      </x:c>
      <x:c r="C19" s="8">
        <x:v>16</x:v>
      </x:c>
      <x:c r="D19" s="8">
        <x:f>C19-B19</x:f>
      </x:c>
      <x:c r="E19" s="9" t="s">
        <x:v>25</x:v>
      </x:c>
    </x:row>
    <x:row r="20" spans="1:5" ht="13.5" customHeight="1" s="3" customFormat="1">
      <x:c r="A20" s="6" t="s">
        <x:v>30</x:v>
      </x:c>
      <x:c r="B20" s="6">
        <x:f>SUM(B15:B19)</x:f>
      </x:c>
      <x:c r="C20" s="6">
        <x:f>SUM(C15:C19)</x:f>
      </x:c>
      <x:c r="D20" s="6">
        <x:f>C20-B20</x:f>
      </x:c>
      <x:c r="E20" s="7"/>
    </x:row>
  </x:sheetData>
  <x:mergeCells count="2">
    <x:mergeCell ref="A1:E1"/>
    <x:mergeCell ref="A2:E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68"/>
  <x:sheetViews>
    <x:sheetView workbookViewId="0">
      <x:pane xSplit="0" ySplit="3" topLeftCell="A4" activePane="bottomLeft" state="frozenSplit"/>
    </x:sheetView>
  </x:sheetViews>
  <x:sheetFormatPr defaultRowHeight="15"/>
  <x:cols>
    <x:col min="5" max="16384" width="9.140625" style="1" customWidth="1"/>
    <x:col min="1" max="1" width="18.710625" style="1" customWidth="1"/>
    <x:col min="2" max="2" width="30.710625" style="1" customWidth="1"/>
    <x:col min="3" max="3" width="95.710625" style="2" customWidth="1"/>
    <x:col min="4" max="4" width="16.710625" style="1" customWidth="1"/>
  </x:cols>
  <x:sheetData>
    <x:row r="1" spans="1:4" ht="15" customHeight="1">
      <x:c r="A1" s="1" t="s">
        <x:v>31</x:v>
      </x:c>
      <x:c r="C1" s="2"/>
    </x:row>
    <x:row r="3" spans="1:4" ht="13.5" customHeight="1" s="3" customFormat="1">
      <x:c r="A3" s="6" t="s">
        <x:v>19</x:v>
      </x:c>
      <x:c r="B3" s="6" t="s">
        <x:v>32</x:v>
      </x:c>
      <x:c r="C3" s="7" t="s">
        <x:v>33</x:v>
      </x:c>
      <x:c r="D3" s="6" t="s">
        <x:v>34</x:v>
      </x:c>
    </x:row>
    <x:row r="4" spans="1:4" ht="13.5" customHeight="1">
      <x:c r="A4" s="8" t="s">
        <x:v>24</x:v>
      </x:c>
      <x:c r="B4" s="8" t="s">
        <x:v>35</x:v>
      </x:c>
      <x:c r="C4" s="9" t="s">
        <x:v>36</x:v>
      </x:c>
      <x:c r="D4" s="8">
        <x:v>12</x:v>
      </x:c>
    </x:row>
    <x:row r="5" spans="1:4" ht="13.5" customHeight="1">
      <x:c r="A5" s="8" t="s">
        <x:v>24</x:v>
      </x:c>
      <x:c r="B5" s="8" t="s">
        <x:v>37</x:v>
      </x:c>
      <x:c r="C5" s="9" t="s">
        <x:v>38</x:v>
      </x:c>
      <x:c r="D5" s="8">
        <x:v>12</x:v>
      </x:c>
    </x:row>
    <x:row r="6" spans="1:4" ht="13.5" customHeight="1">
      <x:c r="A6" s="8" t="s">
        <x:v>24</x:v>
      </x:c>
      <x:c r="B6" s="8" t="s">
        <x:v>37</x:v>
      </x:c>
      <x:c r="C6" s="9" t="s">
        <x:v>39</x:v>
      </x:c>
      <x:c r="D6" s="8">
        <x:v>12</x:v>
      </x:c>
    </x:row>
    <x:row r="7" spans="1:4" ht="13.5" customHeight="1">
      <x:c r="A7" s="8" t="s">
        <x:v>24</x:v>
      </x:c>
      <x:c r="B7" s="8" t="s">
        <x:v>40</x:v>
      </x:c>
      <x:c r="C7" s="9" t="s">
        <x:v>41</x:v>
      </x:c>
      <x:c r="D7" s="8">
        <x:v>12</x:v>
      </x:c>
    </x:row>
    <x:row r="8" spans="1:4" ht="13.5" customHeight="1">
      <x:c r="A8" s="8" t="s">
        <x:v>24</x:v>
      </x:c>
      <x:c r="B8" s="8" t="s">
        <x:v>42</x:v>
      </x:c>
      <x:c r="C8" s="9" t="s">
        <x:v>43</x:v>
      </x:c>
      <x:c r="D8" s="8">
        <x:v>12</x:v>
      </x:c>
    </x:row>
    <x:row r="9" spans="1:4" ht="13.5" customHeight="1">
      <x:c r="A9" s="8" t="s">
        <x:v>24</x:v>
      </x:c>
      <x:c r="B9" s="8" t="s">
        <x:v>44</x:v>
      </x:c>
      <x:c r="C9" s="9" t="s">
        <x:v>45</x:v>
      </x:c>
      <x:c r="D9" s="8">
        <x:v>12</x:v>
      </x:c>
    </x:row>
    <x:row r="10" spans="1:4" ht="13.5" customHeight="1">
      <x:c r="A10" s="8" t="s">
        <x:v>24</x:v>
      </x:c>
      <x:c r="B10" s="8" t="s">
        <x:v>46</x:v>
      </x:c>
      <x:c r="C10" s="9" t="s">
        <x:v>47</x:v>
      </x:c>
      <x:c r="D10" s="8">
        <x:v>12</x:v>
      </x:c>
    </x:row>
    <x:row r="11" spans="1:4" ht="13.5" customHeight="1">
      <x:c r="A11" s="8" t="s">
        <x:v>24</x:v>
      </x:c>
      <x:c r="B11" s="8" t="s">
        <x:v>48</x:v>
      </x:c>
      <x:c r="C11" s="9" t="s">
        <x:v>49</x:v>
      </x:c>
      <x:c r="D11" s="8">
        <x:v>12</x:v>
      </x:c>
    </x:row>
    <x:row r="12" spans="1:4" ht="13.5" customHeight="1">
      <x:c r="A12" s="8" t="s">
        <x:v>24</x:v>
      </x:c>
      <x:c r="B12" s="8" t="s">
        <x:v>50</x:v>
      </x:c>
      <x:c r="C12" s="9" t="s">
        <x:v>51</x:v>
      </x:c>
      <x:c r="D12" s="8">
        <x:v>12</x:v>
      </x:c>
    </x:row>
    <x:row r="13" spans="1:4" ht="13.5" customHeight="1">
      <x:c r="A13" s="8" t="s">
        <x:v>24</x:v>
      </x:c>
      <x:c r="B13" s="8" t="s">
        <x:v>52</x:v>
      </x:c>
      <x:c r="C13" s="9" t="s">
        <x:v>53</x:v>
      </x:c>
      <x:c r="D13" s="8">
        <x:v>12</x:v>
      </x:c>
    </x:row>
    <x:row r="14" spans="1:4" ht="13.5" customHeight="1">
      <x:c r="A14" s="8" t="s">
        <x:v>24</x:v>
      </x:c>
      <x:c r="B14" s="8" t="s">
        <x:v>54</x:v>
      </x:c>
      <x:c r="C14" s="9" t="s">
        <x:v>55</x:v>
      </x:c>
      <x:c r="D14" s="8">
        <x:v>12</x:v>
      </x:c>
    </x:row>
    <x:row r="15" spans="1:4" ht="13.5" customHeight="1">
      <x:c r="A15" s="8" t="s">
        <x:v>24</x:v>
      </x:c>
      <x:c r="B15" s="8" t="s">
        <x:v>56</x:v>
      </x:c>
      <x:c r="C15" s="9" t="s">
        <x:v>57</x:v>
      </x:c>
      <x:c r="D15" s="8">
        <x:v>12</x:v>
      </x:c>
    </x:row>
    <x:row r="16" spans="1:4" ht="13.5" customHeight="1">
      <x:c r="A16" s="8" t="s">
        <x:v>24</x:v>
      </x:c>
      <x:c r="B16" s="8" t="s">
        <x:v>58</x:v>
      </x:c>
      <x:c r="C16" s="9" t="s">
        <x:v>59</x:v>
      </x:c>
      <x:c r="D16" s="8">
        <x:v>12</x:v>
      </x:c>
    </x:row>
    <x:row r="17" spans="1:4" ht="13.5" customHeight="1">
      <x:c r="A17" s="8" t="s">
        <x:v>26</x:v>
      </x:c>
      <x:c r="B17" s="8" t="s">
        <x:v>35</x:v>
      </x:c>
      <x:c r="C17" s="9" t="s">
        <x:v>60</x:v>
      </x:c>
      <x:c r="D17" s="8">
        <x:v>13</x:v>
      </x:c>
    </x:row>
    <x:row r="18" spans="1:4" ht="13.5" customHeight="1">
      <x:c r="A18" s="8" t="s">
        <x:v>26</x:v>
      </x:c>
      <x:c r="B18" s="8" t="s">
        <x:v>37</x:v>
      </x:c>
      <x:c r="C18" s="9" t="s">
        <x:v>61</x:v>
      </x:c>
      <x:c r="D18" s="8">
        <x:v>13</x:v>
      </x:c>
    </x:row>
    <x:row r="19" spans="1:4" ht="13.5" customHeight="1">
      <x:c r="A19" s="8" t="s">
        <x:v>26</x:v>
      </x:c>
      <x:c r="B19" s="8" t="s">
        <x:v>37</x:v>
      </x:c>
      <x:c r="C19" s="9" t="s">
        <x:v>62</x:v>
      </x:c>
      <x:c r="D19" s="8">
        <x:v>13</x:v>
      </x:c>
    </x:row>
    <x:row r="20" spans="1:4" ht="13.5" customHeight="1">
      <x:c r="A20" s="8" t="s">
        <x:v>26</x:v>
      </x:c>
      <x:c r="B20" s="8" t="s">
        <x:v>40</x:v>
      </x:c>
      <x:c r="C20" s="9" t="s">
        <x:v>63</x:v>
      </x:c>
      <x:c r="D20" s="8">
        <x:v>13</x:v>
      </x:c>
    </x:row>
    <x:row r="21" spans="1:4" ht="13.5" customHeight="1">
      <x:c r="A21" s="8" t="s">
        <x:v>26</x:v>
      </x:c>
      <x:c r="B21" s="8" t="s">
        <x:v>42</x:v>
      </x:c>
      <x:c r="C21" s="9" t="s">
        <x:v>64</x:v>
      </x:c>
      <x:c r="D21" s="8">
        <x:v>13</x:v>
      </x:c>
    </x:row>
    <x:row r="22" spans="1:4" ht="13.5" customHeight="1">
      <x:c r="A22" s="8" t="s">
        <x:v>26</x:v>
      </x:c>
      <x:c r="B22" s="8" t="s">
        <x:v>44</x:v>
      </x:c>
      <x:c r="C22" s="9" t="s">
        <x:v>65</x:v>
      </x:c>
      <x:c r="D22" s="8">
        <x:v>13</x:v>
      </x:c>
    </x:row>
    <x:row r="23" spans="1:4" ht="13.5" customHeight="1">
      <x:c r="A23" s="8" t="s">
        <x:v>26</x:v>
      </x:c>
      <x:c r="B23" s="8" t="s">
        <x:v>46</x:v>
      </x:c>
      <x:c r="C23" s="9" t="s">
        <x:v>66</x:v>
      </x:c>
      <x:c r="D23" s="8">
        <x:v>13</x:v>
      </x:c>
    </x:row>
    <x:row r="24" spans="1:4" ht="13.5" customHeight="1">
      <x:c r="A24" s="8" t="s">
        <x:v>26</x:v>
      </x:c>
      <x:c r="B24" s="8" t="s">
        <x:v>48</x:v>
      </x:c>
      <x:c r="C24" s="9" t="s">
        <x:v>67</x:v>
      </x:c>
      <x:c r="D24" s="8">
        <x:v>13</x:v>
      </x:c>
    </x:row>
    <x:row r="25" spans="1:4" ht="13.5" customHeight="1">
      <x:c r="A25" s="8" t="s">
        <x:v>26</x:v>
      </x:c>
      <x:c r="B25" s="8" t="s">
        <x:v>50</x:v>
      </x:c>
      <x:c r="C25" s="9" t="s">
        <x:v>51</x:v>
      </x:c>
      <x:c r="D25" s="8">
        <x:v>13</x:v>
      </x:c>
    </x:row>
    <x:row r="26" spans="1:4" ht="13.5" customHeight="1">
      <x:c r="A26" s="8" t="s">
        <x:v>26</x:v>
      </x:c>
      <x:c r="B26" s="8" t="s">
        <x:v>52</x:v>
      </x:c>
      <x:c r="C26" s="9" t="s">
        <x:v>68</x:v>
      </x:c>
      <x:c r="D26" s="8">
        <x:v>13</x:v>
      </x:c>
    </x:row>
    <x:row r="27" spans="1:4" ht="13.5" customHeight="1">
      <x:c r="A27" s="8" t="s">
        <x:v>26</x:v>
      </x:c>
      <x:c r="B27" s="8" t="s">
        <x:v>54</x:v>
      </x:c>
      <x:c r="C27" s="9" t="s">
        <x:v>69</x:v>
      </x:c>
      <x:c r="D27" s="8">
        <x:v>13</x:v>
      </x:c>
    </x:row>
    <x:row r="28" spans="1:4" ht="13.5" customHeight="1">
      <x:c r="A28" s="8" t="s">
        <x:v>26</x:v>
      </x:c>
      <x:c r="B28" s="8" t="s">
        <x:v>56</x:v>
      </x:c>
      <x:c r="C28" s="9" t="s">
        <x:v>70</x:v>
      </x:c>
      <x:c r="D28" s="8">
        <x:v>13</x:v>
      </x:c>
    </x:row>
    <x:row r="29" spans="1:4" ht="13.5" customHeight="1">
      <x:c r="A29" s="8" t="s">
        <x:v>26</x:v>
      </x:c>
      <x:c r="B29" s="8" t="s">
        <x:v>58</x:v>
      </x:c>
      <x:c r="C29" s="9" t="s">
        <x:v>71</x:v>
      </x:c>
      <x:c r="D29" s="8">
        <x:v>13</x:v>
      </x:c>
    </x:row>
    <x:row r="30" spans="1:4" ht="13.5" customHeight="1">
      <x:c r="A30" s="8" t="s">
        <x:v>27</x:v>
      </x:c>
      <x:c r="B30" s="8" t="s">
        <x:v>35</x:v>
      </x:c>
      <x:c r="C30" s="9" t="s">
        <x:v>72</x:v>
      </x:c>
      <x:c r="D30" s="8">
        <x:v>14</x:v>
      </x:c>
    </x:row>
    <x:row r="31" spans="1:4" ht="13.5" customHeight="1">
      <x:c r="A31" s="8" t="s">
        <x:v>27</x:v>
      </x:c>
      <x:c r="B31" s="8" t="s">
        <x:v>37</x:v>
      </x:c>
      <x:c r="C31" s="9" t="s">
        <x:v>73</x:v>
      </x:c>
      <x:c r="D31" s="8">
        <x:v>14</x:v>
      </x:c>
    </x:row>
    <x:row r="32" spans="1:4" ht="13.5" customHeight="1">
      <x:c r="A32" s="8" t="s">
        <x:v>27</x:v>
      </x:c>
      <x:c r="B32" s="8" t="s">
        <x:v>37</x:v>
      </x:c>
      <x:c r="C32" s="9" t="s">
        <x:v>74</x:v>
      </x:c>
      <x:c r="D32" s="8">
        <x:v>14</x:v>
      </x:c>
    </x:row>
    <x:row r="33" spans="1:4" ht="13.5" customHeight="1">
      <x:c r="A33" s="8" t="s">
        <x:v>27</x:v>
      </x:c>
      <x:c r="B33" s="8" t="s">
        <x:v>40</x:v>
      </x:c>
      <x:c r="C33" s="9" t="s">
        <x:v>75</x:v>
      </x:c>
      <x:c r="D33" s="8">
        <x:v>14</x:v>
      </x:c>
    </x:row>
    <x:row r="34" spans="1:4" ht="13.5" customHeight="1">
      <x:c r="A34" s="8" t="s">
        <x:v>27</x:v>
      </x:c>
      <x:c r="B34" s="8" t="s">
        <x:v>42</x:v>
      </x:c>
      <x:c r="C34" s="9" t="s">
        <x:v>76</x:v>
      </x:c>
      <x:c r="D34" s="8">
        <x:v>14</x:v>
      </x:c>
    </x:row>
    <x:row r="35" spans="1:4" ht="13.5" customHeight="1">
      <x:c r="A35" s="8" t="s">
        <x:v>27</x:v>
      </x:c>
      <x:c r="B35" s="8" t="s">
        <x:v>44</x:v>
      </x:c>
      <x:c r="C35" s="9" t="s">
        <x:v>77</x:v>
      </x:c>
      <x:c r="D35" s="8">
        <x:v>14</x:v>
      </x:c>
    </x:row>
    <x:row r="36" spans="1:4" ht="13.5" customHeight="1">
      <x:c r="A36" s="8" t="s">
        <x:v>27</x:v>
      </x:c>
      <x:c r="B36" s="8" t="s">
        <x:v>46</x:v>
      </x:c>
      <x:c r="C36" s="9" t="s">
        <x:v>78</x:v>
      </x:c>
      <x:c r="D36" s="8">
        <x:v>14</x:v>
      </x:c>
    </x:row>
    <x:row r="37" spans="1:4" ht="13.5" customHeight="1">
      <x:c r="A37" s="8" t="s">
        <x:v>27</x:v>
      </x:c>
      <x:c r="B37" s="8" t="s">
        <x:v>48</x:v>
      </x:c>
      <x:c r="C37" s="9" t="s">
        <x:v>79</x:v>
      </x:c>
      <x:c r="D37" s="8">
        <x:v>14</x:v>
      </x:c>
    </x:row>
    <x:row r="38" spans="1:4" ht="13.5" customHeight="1">
      <x:c r="A38" s="8" t="s">
        <x:v>27</x:v>
      </x:c>
      <x:c r="B38" s="8" t="s">
        <x:v>50</x:v>
      </x:c>
      <x:c r="C38" s="9" t="s">
        <x:v>51</x:v>
      </x:c>
      <x:c r="D38" s="8">
        <x:v>14</x:v>
      </x:c>
    </x:row>
    <x:row r="39" spans="1:4" ht="13.5" customHeight="1">
      <x:c r="A39" s="8" t="s">
        <x:v>27</x:v>
      </x:c>
      <x:c r="B39" s="8" t="s">
        <x:v>52</x:v>
      </x:c>
      <x:c r="C39" s="9" t="s">
        <x:v>80</x:v>
      </x:c>
      <x:c r="D39" s="8">
        <x:v>14</x:v>
      </x:c>
    </x:row>
    <x:row r="40" spans="1:4" ht="13.5" customHeight="1">
      <x:c r="A40" s="8" t="s">
        <x:v>27</x:v>
      </x:c>
      <x:c r="B40" s="8" t="s">
        <x:v>54</x:v>
      </x:c>
      <x:c r="C40" s="9" t="s">
        <x:v>81</x:v>
      </x:c>
      <x:c r="D40" s="8">
        <x:v>14</x:v>
      </x:c>
    </x:row>
    <x:row r="41" spans="1:4" ht="13.5" customHeight="1">
      <x:c r="A41" s="8" t="s">
        <x:v>27</x:v>
      </x:c>
      <x:c r="B41" s="8" t="s">
        <x:v>56</x:v>
      </x:c>
      <x:c r="C41" s="9" t="s">
        <x:v>82</x:v>
      </x:c>
      <x:c r="D41" s="8">
        <x:v>14</x:v>
      </x:c>
    </x:row>
    <x:row r="42" spans="1:4" ht="13.5" customHeight="1">
      <x:c r="A42" s="8" t="s">
        <x:v>27</x:v>
      </x:c>
      <x:c r="B42" s="8" t="s">
        <x:v>58</x:v>
      </x:c>
      <x:c r="C42" s="9" t="s">
        <x:v>83</x:v>
      </x:c>
      <x:c r="D42" s="8">
        <x:v>14</x:v>
      </x:c>
    </x:row>
    <x:row r="43" spans="1:4" ht="13.5" customHeight="1">
      <x:c r="A43" s="8" t="s">
        <x:v>28</x:v>
      </x:c>
      <x:c r="B43" s="8" t="s">
        <x:v>35</x:v>
      </x:c>
      <x:c r="C43" s="9" t="s">
        <x:v>84</x:v>
      </x:c>
      <x:c r="D43" s="8">
        <x:v>15</x:v>
      </x:c>
    </x:row>
    <x:row r="44" spans="1:4" ht="13.5" customHeight="1">
      <x:c r="A44" s="8" t="s">
        <x:v>28</x:v>
      </x:c>
      <x:c r="B44" s="8" t="s">
        <x:v>37</x:v>
      </x:c>
      <x:c r="C44" s="9" t="s">
        <x:v>85</x:v>
      </x:c>
      <x:c r="D44" s="8">
        <x:v>15</x:v>
      </x:c>
    </x:row>
    <x:row r="45" spans="1:4" ht="13.5" customHeight="1">
      <x:c r="A45" s="8" t="s">
        <x:v>28</x:v>
      </x:c>
      <x:c r="B45" s="8" t="s">
        <x:v>37</x:v>
      </x:c>
      <x:c r="C45" s="9" t="s">
        <x:v>86</x:v>
      </x:c>
      <x:c r="D45" s="8">
        <x:v>15</x:v>
      </x:c>
    </x:row>
    <x:row r="46" spans="1:4" ht="13.5" customHeight="1">
      <x:c r="A46" s="8" t="s">
        <x:v>28</x:v>
      </x:c>
      <x:c r="B46" s="8" t="s">
        <x:v>40</x:v>
      </x:c>
      <x:c r="C46" s="9" t="s">
        <x:v>87</x:v>
      </x:c>
      <x:c r="D46" s="8">
        <x:v>15</x:v>
      </x:c>
    </x:row>
    <x:row r="47" spans="1:4" ht="13.5" customHeight="1">
      <x:c r="A47" s="8" t="s">
        <x:v>28</x:v>
      </x:c>
      <x:c r="B47" s="8" t="s">
        <x:v>42</x:v>
      </x:c>
      <x:c r="C47" s="9" t="s">
        <x:v>88</x:v>
      </x:c>
      <x:c r="D47" s="8">
        <x:v>15</x:v>
      </x:c>
    </x:row>
    <x:row r="48" spans="1:4" ht="13.5" customHeight="1">
      <x:c r="A48" s="8" t="s">
        <x:v>28</x:v>
      </x:c>
      <x:c r="B48" s="8" t="s">
        <x:v>44</x:v>
      </x:c>
      <x:c r="C48" s="9" t="s">
        <x:v>89</x:v>
      </x:c>
      <x:c r="D48" s="8">
        <x:v>15</x:v>
      </x:c>
    </x:row>
    <x:row r="49" spans="1:4" ht="13.5" customHeight="1">
      <x:c r="A49" s="8" t="s">
        <x:v>28</x:v>
      </x:c>
      <x:c r="B49" s="8" t="s">
        <x:v>46</x:v>
      </x:c>
      <x:c r="C49" s="9" t="s">
        <x:v>90</x:v>
      </x:c>
      <x:c r="D49" s="8">
        <x:v>15</x:v>
      </x:c>
    </x:row>
    <x:row r="50" spans="1:4" ht="13.5" customHeight="1">
      <x:c r="A50" s="8" t="s">
        <x:v>28</x:v>
      </x:c>
      <x:c r="B50" s="8" t="s">
        <x:v>48</x:v>
      </x:c>
      <x:c r="C50" s="9" t="s">
        <x:v>91</x:v>
      </x:c>
      <x:c r="D50" s="8">
        <x:v>15</x:v>
      </x:c>
    </x:row>
    <x:row r="51" spans="1:4" ht="13.5" customHeight="1">
      <x:c r="A51" s="8" t="s">
        <x:v>28</x:v>
      </x:c>
      <x:c r="B51" s="8" t="s">
        <x:v>50</x:v>
      </x:c>
      <x:c r="C51" s="9" t="s">
        <x:v>51</x:v>
      </x:c>
      <x:c r="D51" s="8">
        <x:v>15</x:v>
      </x:c>
    </x:row>
    <x:row r="52" spans="1:4" ht="13.5" customHeight="1">
      <x:c r="A52" s="8" t="s">
        <x:v>28</x:v>
      </x:c>
      <x:c r="B52" s="8" t="s">
        <x:v>52</x:v>
      </x:c>
      <x:c r="C52" s="9" t="s">
        <x:v>92</x:v>
      </x:c>
      <x:c r="D52" s="8">
        <x:v>15</x:v>
      </x:c>
    </x:row>
    <x:row r="53" spans="1:4" ht="13.5" customHeight="1">
      <x:c r="A53" s="8" t="s">
        <x:v>28</x:v>
      </x:c>
      <x:c r="B53" s="8" t="s">
        <x:v>54</x:v>
      </x:c>
      <x:c r="C53" s="9" t="s">
        <x:v>93</x:v>
      </x:c>
      <x:c r="D53" s="8">
        <x:v>15</x:v>
      </x:c>
    </x:row>
    <x:row r="54" spans="1:4" ht="13.5" customHeight="1">
      <x:c r="A54" s="8" t="s">
        <x:v>28</x:v>
      </x:c>
      <x:c r="B54" s="8" t="s">
        <x:v>56</x:v>
      </x:c>
      <x:c r="C54" s="9" t="s">
        <x:v>94</x:v>
      </x:c>
      <x:c r="D54" s="8">
        <x:v>15</x:v>
      </x:c>
    </x:row>
    <x:row r="55" spans="1:4" ht="13.5" customHeight="1">
      <x:c r="A55" s="8" t="s">
        <x:v>28</x:v>
      </x:c>
      <x:c r="B55" s="8" t="s">
        <x:v>58</x:v>
      </x:c>
      <x:c r="C55" s="9" t="s">
        <x:v>95</x:v>
      </x:c>
      <x:c r="D55" s="8">
        <x:v>15</x:v>
      </x:c>
    </x:row>
    <x:row r="56" spans="1:4" ht="13.5" customHeight="1">
      <x:c r="A56" s="8" t="s">
        <x:v>29</x:v>
      </x:c>
      <x:c r="B56" s="8" t="s">
        <x:v>35</x:v>
      </x:c>
      <x:c r="C56" s="9" t="s">
        <x:v>96</x:v>
      </x:c>
      <x:c r="D56" s="8">
        <x:v>16</x:v>
      </x:c>
    </x:row>
    <x:row r="57" spans="1:4" ht="13.5" customHeight="1">
      <x:c r="A57" s="8" t="s">
        <x:v>29</x:v>
      </x:c>
      <x:c r="B57" s="8" t="s">
        <x:v>37</x:v>
      </x:c>
      <x:c r="C57" s="9" t="s">
        <x:v>97</x:v>
      </x:c>
      <x:c r="D57" s="8">
        <x:v>16</x:v>
      </x:c>
    </x:row>
    <x:row r="58" spans="1:4" ht="13.5" customHeight="1">
      <x:c r="A58" s="8" t="s">
        <x:v>29</x:v>
      </x:c>
      <x:c r="B58" s="8" t="s">
        <x:v>37</x:v>
      </x:c>
      <x:c r="C58" s="9" t="s">
        <x:v>98</x:v>
      </x:c>
      <x:c r="D58" s="8">
        <x:v>16</x:v>
      </x:c>
    </x:row>
    <x:row r="59" spans="1:4" ht="13.5" customHeight="1">
      <x:c r="A59" s="8" t="s">
        <x:v>29</x:v>
      </x:c>
      <x:c r="B59" s="8" t="s">
        <x:v>40</x:v>
      </x:c>
      <x:c r="C59" s="9" t="s">
        <x:v>99</x:v>
      </x:c>
      <x:c r="D59" s="8">
        <x:v>16</x:v>
      </x:c>
    </x:row>
    <x:row r="60" spans="1:4" ht="13.5" customHeight="1">
      <x:c r="A60" s="8" t="s">
        <x:v>29</x:v>
      </x:c>
      <x:c r="B60" s="8" t="s">
        <x:v>42</x:v>
      </x:c>
      <x:c r="C60" s="9" t="s">
        <x:v>100</x:v>
      </x:c>
      <x:c r="D60" s="8">
        <x:v>16</x:v>
      </x:c>
    </x:row>
    <x:row r="61" spans="1:4" ht="13.5" customHeight="1">
      <x:c r="A61" s="8" t="s">
        <x:v>29</x:v>
      </x:c>
      <x:c r="B61" s="8" t="s">
        <x:v>44</x:v>
      </x:c>
      <x:c r="C61" s="9" t="s">
        <x:v>101</x:v>
      </x:c>
      <x:c r="D61" s="8">
        <x:v>16</x:v>
      </x:c>
    </x:row>
    <x:row r="62" spans="1:4" ht="13.5" customHeight="1">
      <x:c r="A62" s="8" t="s">
        <x:v>29</x:v>
      </x:c>
      <x:c r="B62" s="8" t="s">
        <x:v>46</x:v>
      </x:c>
      <x:c r="C62" s="9" t="s">
        <x:v>102</x:v>
      </x:c>
      <x:c r="D62" s="8">
        <x:v>16</x:v>
      </x:c>
    </x:row>
    <x:row r="63" spans="1:4" ht="13.5" customHeight="1">
      <x:c r="A63" s="8" t="s">
        <x:v>29</x:v>
      </x:c>
      <x:c r="B63" s="8" t="s">
        <x:v>48</x:v>
      </x:c>
      <x:c r="C63" s="9" t="s">
        <x:v>103</x:v>
      </x:c>
      <x:c r="D63" s="8">
        <x:v>16</x:v>
      </x:c>
    </x:row>
    <x:row r="64" spans="1:4" ht="13.5" customHeight="1">
      <x:c r="A64" s="8" t="s">
        <x:v>29</x:v>
      </x:c>
      <x:c r="B64" s="8" t="s">
        <x:v>50</x:v>
      </x:c>
      <x:c r="C64" s="9" t="s">
        <x:v>51</x:v>
      </x:c>
      <x:c r="D64" s="8">
        <x:v>16</x:v>
      </x:c>
    </x:row>
    <x:row r="65" spans="1:4" ht="13.5" customHeight="1">
      <x:c r="A65" s="8" t="s">
        <x:v>29</x:v>
      </x:c>
      <x:c r="B65" s="8" t="s">
        <x:v>52</x:v>
      </x:c>
      <x:c r="C65" s="9" t="s">
        <x:v>104</x:v>
      </x:c>
      <x:c r="D65" s="8">
        <x:v>16</x:v>
      </x:c>
    </x:row>
    <x:row r="66" spans="1:4" ht="13.5" customHeight="1">
      <x:c r="A66" s="8" t="s">
        <x:v>29</x:v>
      </x:c>
      <x:c r="B66" s="8" t="s">
        <x:v>54</x:v>
      </x:c>
      <x:c r="C66" s="9" t="s">
        <x:v>105</x:v>
      </x:c>
      <x:c r="D66" s="8">
        <x:v>16</x:v>
      </x:c>
    </x:row>
    <x:row r="67" spans="1:4" ht="13.5" customHeight="1">
      <x:c r="A67" s="8" t="s">
        <x:v>29</x:v>
      </x:c>
      <x:c r="B67" s="8" t="s">
        <x:v>56</x:v>
      </x:c>
      <x:c r="C67" s="9" t="s">
        <x:v>106</x:v>
      </x:c>
      <x:c r="D67" s="8">
        <x:v>16</x:v>
      </x:c>
    </x:row>
    <x:row r="68" spans="1:4" ht="13.5" customHeight="1">
      <x:c r="A68" s="8" t="s">
        <x:v>29</x:v>
      </x:c>
      <x:c r="B68" s="8" t="s">
        <x:v>58</x:v>
      </x:c>
      <x:c r="C68" s="9" t="s">
        <x:v>107</x:v>
      </x:c>
      <x:c r="D68" s="8">
        <x:v>16</x:v>
      </x:c>
    </x:row>
  </x:sheetData>
  <x:mergeCells count="1">
    <x:mergeCell ref="A1:D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H7"/>
  <x:sheetViews>
    <x:sheetView workbookViewId="0">
      <x:pane xSplit="0" ySplit="1" topLeftCell="A2" activePane="bottomLeft" state="frozenSplit"/>
    </x:sheetView>
  </x:sheetViews>
  <x:sheetFormatPr defaultRowHeight="15"/>
  <x:cols>
    <x:col min="9" max="16384" width="9.140625" style="2" customWidth="1"/>
    <x:col min="1" max="1" width="16.710625" style="2" customWidth="1"/>
    <x:col min="2" max="2" width="65.710625" style="2" customWidth="1"/>
    <x:col min="3" max="5" width="15.710625" style="10" customWidth="1"/>
    <x:col min="6" max="7" width="28.710625" style="2" customWidth="1"/>
    <x:col min="8" max="8" width="70.710625" style="2" customWidth="1"/>
  </x:cols>
  <x:sheetData>
    <x:row r="1" spans="1:8" ht="13.5" customHeight="1" s="5" customFormat="1">
      <x:c r="A1" s="5" t="s">
        <x:v>19</x:v>
      </x:c>
      <x:c r="B1" s="5" t="s">
        <x:v>108</x:v>
      </x:c>
      <x:c r="C1" s="11" t="s">
        <x:v>109</x:v>
      </x:c>
      <x:c r="D1" s="11" t="s">
        <x:v>110</x:v>
      </x:c>
      <x:c r="E1" s="11" t="s">
        <x:v>111</x:v>
      </x:c>
      <x:c r="F1" s="5" t="s">
        <x:v>112</x:v>
      </x:c>
      <x:c r="G1" s="5" t="s">
        <x:v>113</x:v>
      </x:c>
      <x:c r="H1" s="5" t="s">
        <x:v>114</x:v>
      </x:c>
    </x:row>
    <x:row r="2" spans="1:8" ht="13.5" customHeight="1">
      <x:c r="A2" s="2" t="s">
        <x:v>24</x:v>
      </x:c>
      <x:c r="B2" s="2" t="s">
        <x:v>115</x:v>
      </x:c>
      <x:c r="C2" s="10"/>
      <x:c r="D2" s="10"/>
      <x:c r="E2" s="10"/>
      <x:c r="F2" s="2" t="s">
        <x:v>116</x:v>
      </x:c>
    </x:row>
    <x:row r="3" spans="1:8" ht="13.5" customHeight="1">
      <x:c r="A3" s="2" t="s">
        <x:v>26</x:v>
      </x:c>
      <x:c r="B3" s="2" t="s">
        <x:v>115</x:v>
      </x:c>
      <x:c r="C3" s="10"/>
      <x:c r="D3" s="10"/>
      <x:c r="E3" s="10"/>
      <x:c r="F3" s="2" t="s">
        <x:v>116</x:v>
      </x:c>
    </x:row>
    <x:row r="4" spans="1:8" ht="13.5" customHeight="1">
      <x:c r="A4" s="2" t="s">
        <x:v>27</x:v>
      </x:c>
      <x:c r="B4" s="2" t="s">
        <x:v>115</x:v>
      </x:c>
      <x:c r="C4" s="10"/>
      <x:c r="D4" s="10"/>
      <x:c r="E4" s="10"/>
      <x:c r="F4" s="2" t="s">
        <x:v>116</x:v>
      </x:c>
    </x:row>
    <x:row r="5" spans="1:8" ht="13.5" customHeight="1">
      <x:c r="A5" s="2" t="s">
        <x:v>28</x:v>
      </x:c>
      <x:c r="B5" s="2" t="s">
        <x:v>115</x:v>
      </x:c>
      <x:c r="C5" s="10"/>
      <x:c r="D5" s="10"/>
      <x:c r="E5" s="10"/>
      <x:c r="F5" s="2" t="s">
        <x:v>116</x:v>
      </x:c>
    </x:row>
    <x:row r="6" spans="1:8" ht="13.5" customHeight="1">
      <x:c r="A6" s="2" t="s">
        <x:v>29</x:v>
      </x:c>
      <x:c r="B6" s="2" t="s">
        <x:v>115</x:v>
      </x:c>
      <x:c r="C6" s="10"/>
      <x:c r="D6" s="10"/>
      <x:c r="E6" s="10"/>
      <x:c r="F6" s="2" t="s">
        <x:v>116</x:v>
      </x:c>
    </x:row>
    <x:row r="7" spans="1:8" ht="13.5" customHeight="1">
      <x:c r="B7" s="2" t="s">
        <x:v>117</x:v>
      </x:c>
      <x:c r="C7" s="10">
        <x:f>IF(COUNT(C2:C6)=5,SUM(C2:C6),"")</x:f>
      </x:c>
      <x:c r="D7" s="10">
        <x:f>IF(COUNT(D2:D6)=5,SUM(D2:D6),"")</x:f>
      </x:c>
      <x:c r="E7" s="10">
        <x:f>IF(COUNT(E2:E6)=5,SUM(E2:E6),"")</x:f>
      </x:c>
    </x:row>
  </x:sheetData>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7"/>
  <x:sheetViews>
    <x:sheetView workbookViewId="0"/>
  </x:sheetViews>
  <x:sheetFormatPr defaultRowHeight="15"/>
  <x:cols>
    <x:col min="3" max="16384" width="9.140625" style="1" customWidth="1"/>
    <x:col min="1" max="1" width="28.710625" style="1" customWidth="1"/>
    <x:col min="2" max="2" width="110.710625" style="2" customWidth="1"/>
  </x:cols>
  <x:sheetData>
    <x:row r="1" spans="1:2" ht="13.5" customHeight="1">
      <x:c r="A1" s="1" t="s">
        <x:v>118</x:v>
      </x:c>
      <x:c r="B1" s="2" t="s">
        <x:v>119</x:v>
      </x:c>
    </x:row>
    <x:row r="3" spans="1:2" ht="67.5" customHeight="1">
      <x:c r="A3" s="1" t="s">
        <x:v>42</x:v>
      </x:c>
      <x:c r="B3" s="2" t="s">
        <x:v>120</x:v>
      </x:c>
    </x:row>
    <x:row r="4" spans="1:2" ht="13.5" customHeight="1">
      <x:c r="A4" s="1" t="s">
        <x:v>121</x:v>
      </x:c>
      <x:c r="B4" s="2" t="s">
        <x:v>122</x:v>
      </x:c>
    </x:row>
    <x:row r="5" spans="1:2" ht="67.5" customHeight="1">
      <x:c r="A5" s="1" t="s">
        <x:v>46</x:v>
      </x:c>
      <x:c r="B5" s="2" t="s">
        <x:v>123</x:v>
      </x:c>
    </x:row>
    <x:row r="6" spans="1:2" ht="67.5" customHeight="1">
      <x:c r="A6" s="1" t="s">
        <x:v>52</x:v>
      </x:c>
      <x:c r="B6" s="2" t="s">
        <x:v>124</x:v>
      </x:c>
    </x:row>
    <x:row r="7" spans="1:2" ht="13.5" customHeight="1">
      <x:c r="A7" s="1" t="s">
        <x:v>50</x:v>
      </x:c>
      <x:c r="B7" s="2"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HAEA GSD</vt:lpstr>
      <vt:lpstr>P-D-I-V-R Detail</vt:lpstr>
      <vt:lpstr>Task Estimates</vt:lpstr>
      <vt:lpstr>Scope &amp; Assumptions</vt:lpstr>
      <vt:lpstr>HAEA GSD!Print_Area</vt:lpstr>
      <vt:lpstr>HAEA GSD!Print_Titles</vt:lpstr>
      <vt:lpstr>P-D-I-V-R Detail!Print_Area</vt:lpstr>
      <vt:lpstr>P-D-I-V-R Detail!Print_Titles</vt:lpstr>
      <vt:lpstr>Task Estimates!Print_Area</vt:lpstr>
      <vt:lpstr>Task Estimates!Print_Titles</vt:lpstr>
      <vt:lpstr>Scope &amp; Assumptions!Print_Area</vt:lpstr>
      <vt:lpstr>Scope &amp; Assumptions!Print_Titles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